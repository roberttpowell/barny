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3820" windowHeight="9795" activeTab="1"/>
  </bookViews>
  <sheets>
    <sheet name="July 15-July 28" sheetId="69" r:id="rId1"/>
    <sheet name="July 29-Aug 11" sheetId="70" r:id="rId2"/>
  </sheets>
  <definedNames>
    <definedName name="_xlnm.Print_Area" localSheetId="0">'July 15-July 28'!$A$4:$AB$42</definedName>
    <definedName name="_xlnm.Print_Area" localSheetId="1">'July 29-Aug 11'!$A$4:$AB$42</definedName>
  </definedNames>
  <calcPr calcId="125725" concurrentCalc="0"/>
</workbook>
</file>

<file path=xl/calcChain.xml><?xml version="1.0" encoding="utf-8"?>
<calcChain xmlns="http://schemas.openxmlformats.org/spreadsheetml/2006/main">
  <c r="H49" i="70"/>
  <c r="H63"/>
  <c r="F49"/>
  <c r="F63"/>
  <c r="E49"/>
  <c r="E63"/>
  <c r="J50"/>
  <c r="J51"/>
  <c r="J52"/>
  <c r="J53"/>
  <c r="J54"/>
  <c r="J55"/>
  <c r="J56"/>
  <c r="J57"/>
  <c r="J58"/>
  <c r="J59"/>
  <c r="J60"/>
  <c r="J61"/>
  <c r="J62"/>
  <c r="H62"/>
  <c r="F62"/>
  <c r="E62"/>
  <c r="H61"/>
  <c r="F61"/>
  <c r="E61"/>
  <c r="H60"/>
  <c r="F60"/>
  <c r="E60"/>
  <c r="H59"/>
  <c r="F59"/>
  <c r="E59"/>
  <c r="H58"/>
  <c r="F58"/>
  <c r="E58"/>
  <c r="H57"/>
  <c r="F57"/>
  <c r="E57"/>
  <c r="H56"/>
  <c r="G49"/>
  <c r="G56"/>
  <c r="F56"/>
  <c r="E56"/>
  <c r="H55"/>
  <c r="G55"/>
  <c r="F55"/>
  <c r="E55"/>
  <c r="H54"/>
  <c r="G54"/>
  <c r="F54"/>
  <c r="E54"/>
  <c r="H53"/>
  <c r="G53"/>
  <c r="F53"/>
  <c r="E53"/>
  <c r="H52"/>
  <c r="G52"/>
  <c r="F52"/>
  <c r="E52"/>
  <c r="B9"/>
  <c r="C9"/>
  <c r="B10"/>
  <c r="C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C23"/>
  <c r="E31"/>
  <c r="E32"/>
  <c r="E33"/>
  <c r="E34"/>
  <c r="E35"/>
  <c r="E36"/>
  <c r="E37"/>
  <c r="E38"/>
  <c r="E39"/>
  <c r="E41"/>
  <c r="E42"/>
  <c r="F31"/>
  <c r="G31"/>
  <c r="I31"/>
  <c r="F32"/>
  <c r="G32"/>
  <c r="I32"/>
  <c r="F33"/>
  <c r="G33"/>
  <c r="I33"/>
  <c r="F34"/>
  <c r="G34"/>
  <c r="I34"/>
  <c r="F35"/>
  <c r="G35"/>
  <c r="I35"/>
  <c r="F36"/>
  <c r="G36"/>
  <c r="I36"/>
  <c r="F37"/>
  <c r="I37"/>
  <c r="F38"/>
  <c r="I38"/>
  <c r="F39"/>
  <c r="I39"/>
  <c r="I41"/>
  <c r="H31"/>
  <c r="H32"/>
  <c r="H33"/>
  <c r="H34"/>
  <c r="H35"/>
  <c r="H36"/>
  <c r="H41"/>
  <c r="F41"/>
  <c r="F23"/>
  <c r="F25"/>
  <c r="G23"/>
  <c r="G25"/>
  <c r="H23"/>
  <c r="H25"/>
  <c r="I23"/>
  <c r="I25"/>
  <c r="J23"/>
  <c r="J25"/>
  <c r="K23"/>
  <c r="K25"/>
  <c r="L23"/>
  <c r="L25"/>
  <c r="M23"/>
  <c r="M25"/>
  <c r="N23"/>
  <c r="N25"/>
  <c r="O23"/>
  <c r="O25"/>
  <c r="P23"/>
  <c r="P25"/>
  <c r="Q23"/>
  <c r="Q25"/>
  <c r="R23"/>
  <c r="R25"/>
  <c r="T23"/>
  <c r="T25"/>
  <c r="U23"/>
  <c r="U25"/>
  <c r="V23"/>
  <c r="V25"/>
  <c r="W23"/>
  <c r="W25"/>
  <c r="AB25"/>
  <c r="F26"/>
  <c r="G26"/>
  <c r="H26"/>
  <c r="I26"/>
  <c r="J26"/>
  <c r="K26"/>
  <c r="L26"/>
  <c r="M26"/>
  <c r="N26"/>
  <c r="O26"/>
  <c r="P26"/>
  <c r="Q26"/>
  <c r="R26"/>
  <c r="T26"/>
  <c r="U26"/>
  <c r="V26"/>
  <c r="W26"/>
  <c r="AB26"/>
  <c r="AB27"/>
  <c r="Z23"/>
  <c r="Z27"/>
  <c r="Y23"/>
  <c r="Y27"/>
  <c r="X23"/>
  <c r="X27"/>
  <c r="W27"/>
  <c r="V27"/>
  <c r="U27"/>
  <c r="T27"/>
  <c r="R27"/>
  <c r="Q27"/>
  <c r="P27"/>
  <c r="O27"/>
  <c r="N27"/>
  <c r="M27"/>
  <c r="L27"/>
  <c r="K27"/>
  <c r="J27"/>
  <c r="I27"/>
  <c r="H27"/>
  <c r="G27"/>
  <c r="F27"/>
  <c r="D9"/>
  <c r="E9"/>
  <c r="AA9"/>
  <c r="AB9"/>
  <c r="AC9"/>
  <c r="D10"/>
  <c r="E10"/>
  <c r="AA10"/>
  <c r="AB10"/>
  <c r="AC10"/>
  <c r="D11"/>
  <c r="E11"/>
  <c r="AA11"/>
  <c r="AB11"/>
  <c r="AC11"/>
  <c r="D12"/>
  <c r="E12"/>
  <c r="AA12"/>
  <c r="AB12"/>
  <c r="AC12"/>
  <c r="D13"/>
  <c r="E13"/>
  <c r="AA13"/>
  <c r="AB13"/>
  <c r="AC13"/>
  <c r="D14"/>
  <c r="E14"/>
  <c r="AA14"/>
  <c r="AB14"/>
  <c r="AC14"/>
  <c r="D15"/>
  <c r="E15"/>
  <c r="AA15"/>
  <c r="AB15"/>
  <c r="AC15"/>
  <c r="D16"/>
  <c r="E16"/>
  <c r="AA16"/>
  <c r="AB16"/>
  <c r="AC16"/>
  <c r="D17"/>
  <c r="E17"/>
  <c r="AA17"/>
  <c r="AB17"/>
  <c r="AC17"/>
  <c r="D18"/>
  <c r="E18"/>
  <c r="AA18"/>
  <c r="AB18"/>
  <c r="AC18"/>
  <c r="D19"/>
  <c r="E19"/>
  <c r="AA19"/>
  <c r="AB19"/>
  <c r="AC19"/>
  <c r="D20"/>
  <c r="E20"/>
  <c r="AA20"/>
  <c r="AB20"/>
  <c r="AC20"/>
  <c r="D21"/>
  <c r="E21"/>
  <c r="AA21"/>
  <c r="AB21"/>
  <c r="AC21"/>
  <c r="D22"/>
  <c r="E22"/>
  <c r="AA22"/>
  <c r="AB22"/>
  <c r="AC22"/>
  <c r="AC23"/>
  <c r="AB23"/>
  <c r="AA23"/>
  <c r="S23"/>
  <c r="E23"/>
  <c r="D23"/>
  <c r="B23"/>
  <c r="A10"/>
  <c r="A11"/>
  <c r="A12"/>
  <c r="A13"/>
  <c r="A14"/>
  <c r="A15"/>
  <c r="A16"/>
  <c r="A17"/>
  <c r="A18"/>
  <c r="A19"/>
  <c r="A20"/>
  <c r="A21"/>
  <c r="A22"/>
  <c r="Z11" i="69"/>
  <c r="Y11"/>
  <c r="X11"/>
  <c r="T11"/>
  <c r="V10"/>
  <c r="T10"/>
  <c r="X10"/>
  <c r="Y10"/>
  <c r="Q22"/>
  <c r="Z22"/>
  <c r="W22"/>
  <c r="V22"/>
  <c r="U22"/>
  <c r="T22"/>
  <c r="R22"/>
  <c r="P22"/>
  <c r="L22"/>
  <c r="I22"/>
  <c r="H22"/>
  <c r="F22"/>
  <c r="V21"/>
  <c r="B22"/>
  <c r="Z21"/>
  <c r="U21"/>
  <c r="T21"/>
  <c r="R21"/>
  <c r="Q21"/>
  <c r="P21"/>
  <c r="O21"/>
  <c r="L21"/>
  <c r="J21"/>
  <c r="V20"/>
  <c r="H20"/>
  <c r="Z20"/>
  <c r="X20"/>
  <c r="W20"/>
  <c r="R20"/>
  <c r="Q20"/>
  <c r="P20"/>
  <c r="O20"/>
  <c r="T20"/>
  <c r="M20"/>
  <c r="G20"/>
  <c r="Z19"/>
  <c r="U19"/>
  <c r="X19"/>
  <c r="Q19"/>
  <c r="P19"/>
  <c r="M19"/>
  <c r="H19"/>
  <c r="G19"/>
  <c r="T18"/>
  <c r="X18"/>
  <c r="P18"/>
  <c r="O18"/>
  <c r="N18"/>
  <c r="F18"/>
  <c r="X17"/>
  <c r="Z17"/>
  <c r="T17"/>
  <c r="Q17"/>
  <c r="O17"/>
  <c r="N17"/>
  <c r="V17"/>
  <c r="M17"/>
  <c r="J17"/>
  <c r="H17"/>
  <c r="T15"/>
  <c r="Y15"/>
  <c r="X15"/>
  <c r="Q15"/>
  <c r="P15"/>
  <c r="O15"/>
  <c r="L15"/>
  <c r="J15"/>
  <c r="I15"/>
  <c r="H15"/>
  <c r="G15"/>
  <c r="T14"/>
  <c r="Z14"/>
  <c r="V14"/>
  <c r="U14"/>
  <c r="Q14"/>
  <c r="P14"/>
  <c r="O14"/>
  <c r="M14"/>
  <c r="L14"/>
  <c r="I14"/>
  <c r="W13"/>
  <c r="T13"/>
  <c r="Q13"/>
  <c r="P13"/>
  <c r="N13"/>
  <c r="M13"/>
  <c r="G13"/>
  <c r="Z12"/>
  <c r="V12"/>
  <c r="U12"/>
  <c r="P12"/>
  <c r="Q12"/>
  <c r="O12"/>
  <c r="M12"/>
  <c r="J12"/>
  <c r="I12"/>
  <c r="Q11"/>
  <c r="P11"/>
  <c r="O11"/>
  <c r="M11"/>
  <c r="Q10"/>
  <c r="O10"/>
  <c r="L10"/>
  <c r="F10"/>
  <c r="H49"/>
  <c r="H63"/>
  <c r="F49"/>
  <c r="F63"/>
  <c r="E49"/>
  <c r="E63"/>
  <c r="J50"/>
  <c r="J51"/>
  <c r="J52"/>
  <c r="J53"/>
  <c r="J54"/>
  <c r="J55"/>
  <c r="J56"/>
  <c r="J57"/>
  <c r="J58"/>
  <c r="J59"/>
  <c r="J60"/>
  <c r="J61"/>
  <c r="J62"/>
  <c r="H62"/>
  <c r="F62"/>
  <c r="E62"/>
  <c r="H61"/>
  <c r="F61"/>
  <c r="E61"/>
  <c r="H60"/>
  <c r="F60"/>
  <c r="E60"/>
  <c r="H59"/>
  <c r="F59"/>
  <c r="E59"/>
  <c r="H58"/>
  <c r="F58"/>
  <c r="E58"/>
  <c r="H57"/>
  <c r="F57"/>
  <c r="E57"/>
  <c r="H56"/>
  <c r="G49"/>
  <c r="G56"/>
  <c r="F56"/>
  <c r="E56"/>
  <c r="H55"/>
  <c r="G55"/>
  <c r="F55"/>
  <c r="E55"/>
  <c r="H54"/>
  <c r="G54"/>
  <c r="F54"/>
  <c r="E54"/>
  <c r="H53"/>
  <c r="G53"/>
  <c r="F53"/>
  <c r="E53"/>
  <c r="H52"/>
  <c r="G52"/>
  <c r="F52"/>
  <c r="E52"/>
  <c r="B9"/>
  <c r="C9"/>
  <c r="B10"/>
  <c r="C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C22"/>
  <c r="C23"/>
  <c r="E31"/>
  <c r="E32"/>
  <c r="E33"/>
  <c r="E34"/>
  <c r="E35"/>
  <c r="E36"/>
  <c r="E37"/>
  <c r="E38"/>
  <c r="E39"/>
  <c r="E41"/>
  <c r="E42"/>
  <c r="F31"/>
  <c r="G31"/>
  <c r="I31"/>
  <c r="F32"/>
  <c r="G32"/>
  <c r="I32"/>
  <c r="F33"/>
  <c r="G33"/>
  <c r="I33"/>
  <c r="F34"/>
  <c r="G34"/>
  <c r="I34"/>
  <c r="F35"/>
  <c r="G35"/>
  <c r="I35"/>
  <c r="F36"/>
  <c r="G36"/>
  <c r="I36"/>
  <c r="F37"/>
  <c r="I37"/>
  <c r="F38"/>
  <c r="I38"/>
  <c r="F39"/>
  <c r="I39"/>
  <c r="I41"/>
  <c r="H31"/>
  <c r="H32"/>
  <c r="H33"/>
  <c r="H34"/>
  <c r="H35"/>
  <c r="H36"/>
  <c r="H41"/>
  <c r="F41"/>
  <c r="F23"/>
  <c r="F25"/>
  <c r="G23"/>
  <c r="G25"/>
  <c r="H23"/>
  <c r="H25"/>
  <c r="I23"/>
  <c r="I25"/>
  <c r="J23"/>
  <c r="J25"/>
  <c r="K23"/>
  <c r="K25"/>
  <c r="L23"/>
  <c r="L25"/>
  <c r="M23"/>
  <c r="M25"/>
  <c r="N23"/>
  <c r="N25"/>
  <c r="O23"/>
  <c r="O25"/>
  <c r="P23"/>
  <c r="P25"/>
  <c r="Q23"/>
  <c r="Q25"/>
  <c r="R23"/>
  <c r="R25"/>
  <c r="T23"/>
  <c r="T25"/>
  <c r="U23"/>
  <c r="U25"/>
  <c r="V23"/>
  <c r="V25"/>
  <c r="W23"/>
  <c r="W25"/>
  <c r="AB25"/>
  <c r="F26"/>
  <c r="G26"/>
  <c r="H26"/>
  <c r="I26"/>
  <c r="J26"/>
  <c r="K26"/>
  <c r="L26"/>
  <c r="M26"/>
  <c r="N26"/>
  <c r="O26"/>
  <c r="P26"/>
  <c r="Q26"/>
  <c r="R26"/>
  <c r="T26"/>
  <c r="U26"/>
  <c r="V26"/>
  <c r="W26"/>
  <c r="AB26"/>
  <c r="AB27"/>
  <c r="Z23"/>
  <c r="Z27"/>
  <c r="Y23"/>
  <c r="Y27"/>
  <c r="X23"/>
  <c r="X27"/>
  <c r="W27"/>
  <c r="V27"/>
  <c r="U27"/>
  <c r="T27"/>
  <c r="R27"/>
  <c r="Q27"/>
  <c r="P27"/>
  <c r="O27"/>
  <c r="N27"/>
  <c r="M27"/>
  <c r="L27"/>
  <c r="K27"/>
  <c r="J27"/>
  <c r="I27"/>
  <c r="H27"/>
  <c r="G27"/>
  <c r="F27"/>
  <c r="D9"/>
  <c r="E9"/>
  <c r="AA9"/>
  <c r="AB9"/>
  <c r="AC9"/>
  <c r="D10"/>
  <c r="E10"/>
  <c r="AA10"/>
  <c r="AB10"/>
  <c r="AC10"/>
  <c r="D11"/>
  <c r="E11"/>
  <c r="AA11"/>
  <c r="AB11"/>
  <c r="AC11"/>
  <c r="D12"/>
  <c r="E12"/>
  <c r="AA12"/>
  <c r="AB12"/>
  <c r="AC12"/>
  <c r="D13"/>
  <c r="E13"/>
  <c r="AA13"/>
  <c r="AB13"/>
  <c r="AC13"/>
  <c r="D14"/>
  <c r="E14"/>
  <c r="AA14"/>
  <c r="AB14"/>
  <c r="AC14"/>
  <c r="D15"/>
  <c r="E15"/>
  <c r="AA15"/>
  <c r="AB15"/>
  <c r="AC15"/>
  <c r="D16"/>
  <c r="E16"/>
  <c r="AA16"/>
  <c r="AB16"/>
  <c r="AC16"/>
  <c r="D17"/>
  <c r="E17"/>
  <c r="AA17"/>
  <c r="AB17"/>
  <c r="AC17"/>
  <c r="D18"/>
  <c r="E18"/>
  <c r="AA18"/>
  <c r="AB18"/>
  <c r="AC18"/>
  <c r="D19"/>
  <c r="E19"/>
  <c r="AA19"/>
  <c r="AB19"/>
  <c r="AC19"/>
  <c r="D20"/>
  <c r="E20"/>
  <c r="AA20"/>
  <c r="AB20"/>
  <c r="AC20"/>
  <c r="D21"/>
  <c r="E21"/>
  <c r="AA21"/>
  <c r="AB21"/>
  <c r="AC21"/>
  <c r="D22"/>
  <c r="E22"/>
  <c r="AA22"/>
  <c r="AB22"/>
  <c r="AC22"/>
  <c r="AC23"/>
  <c r="AB23"/>
  <c r="AA23"/>
  <c r="S23"/>
  <c r="E23"/>
  <c r="D23"/>
  <c r="B23"/>
  <c r="A10"/>
  <c r="A11"/>
  <c r="A12"/>
  <c r="A13"/>
  <c r="A14"/>
  <c r="A15"/>
  <c r="A16"/>
  <c r="A17"/>
  <c r="A18"/>
  <c r="A19"/>
  <c r="A20"/>
  <c r="A21"/>
  <c r="A22"/>
</calcChain>
</file>

<file path=xl/sharedStrings.xml><?xml version="1.0" encoding="utf-8"?>
<sst xmlns="http://schemas.openxmlformats.org/spreadsheetml/2006/main" count="202" uniqueCount="95">
  <si>
    <t>F</t>
  </si>
  <si>
    <t>Kitchen</t>
  </si>
  <si>
    <t>DATE</t>
  </si>
  <si>
    <t>Grats</t>
  </si>
  <si>
    <t>Total</t>
  </si>
  <si>
    <t>Gratss</t>
  </si>
  <si>
    <t>Fernandes</t>
  </si>
  <si>
    <t>Received</t>
  </si>
  <si>
    <t>Paid</t>
  </si>
  <si>
    <t>Sales</t>
  </si>
  <si>
    <t>Rate CI$</t>
  </si>
  <si>
    <t xml:space="preserve"> </t>
  </si>
  <si>
    <t>BACARO</t>
  </si>
  <si>
    <t>Busers/Food Runners</t>
  </si>
  <si>
    <t>Busers</t>
  </si>
  <si>
    <t>Servers</t>
  </si>
  <si>
    <t xml:space="preserve">Gregor </t>
  </si>
  <si>
    <t>Sauperl</t>
  </si>
  <si>
    <t>Lauren</t>
  </si>
  <si>
    <t>Paxton</t>
  </si>
  <si>
    <t>SERVERS</t>
  </si>
  <si>
    <t>Robert</t>
  </si>
  <si>
    <t>Ranjoe</t>
  </si>
  <si>
    <t>Karone</t>
  </si>
  <si>
    <t>Johnson</t>
  </si>
  <si>
    <t>Freya</t>
  </si>
  <si>
    <t>Palesch</t>
  </si>
  <si>
    <t>Regie</t>
  </si>
  <si>
    <t>Noval</t>
  </si>
  <si>
    <t>Cristal</t>
  </si>
  <si>
    <t>Pacibe</t>
  </si>
  <si>
    <t>Pension Employee</t>
  </si>
  <si>
    <t>Pension Employer</t>
  </si>
  <si>
    <t>NET PAY</t>
  </si>
  <si>
    <t>Points</t>
  </si>
  <si>
    <t>Shifts</t>
  </si>
  <si>
    <t>Employee</t>
  </si>
  <si>
    <t xml:space="preserve">Kitchen </t>
  </si>
  <si>
    <t>Dhondie Baniqued</t>
  </si>
  <si>
    <t xml:space="preserve">Point </t>
  </si>
  <si>
    <t>Value</t>
  </si>
  <si>
    <t>Worked</t>
  </si>
  <si>
    <t>Weekly</t>
  </si>
  <si>
    <t>Salary</t>
  </si>
  <si>
    <t>CI$</t>
  </si>
  <si>
    <t>Praveen Rathore</t>
  </si>
  <si>
    <t>Saurabh Gurung</t>
  </si>
  <si>
    <t>Winston De-Jesus</t>
  </si>
  <si>
    <t>Joana Baustista</t>
  </si>
  <si>
    <t>Kelvin Anglo</t>
  </si>
  <si>
    <t>Point Value</t>
  </si>
  <si>
    <t>Share of</t>
  </si>
  <si>
    <t xml:space="preserve">Pension </t>
  </si>
  <si>
    <t>Employer</t>
  </si>
  <si>
    <t>Payment</t>
  </si>
  <si>
    <t>Due</t>
  </si>
  <si>
    <t>Employees</t>
  </si>
  <si>
    <t>Total Points</t>
  </si>
  <si>
    <t>Total  Grats</t>
  </si>
  <si>
    <t>Hourly</t>
  </si>
  <si>
    <t>Fabio</t>
  </si>
  <si>
    <t>Origlia</t>
  </si>
  <si>
    <t>Karine</t>
  </si>
  <si>
    <t>Zins</t>
  </si>
  <si>
    <t>Phil</t>
  </si>
  <si>
    <t>Nabeel</t>
  </si>
  <si>
    <t>Sara</t>
  </si>
  <si>
    <t>Mangili</t>
  </si>
  <si>
    <t>Edoardo Carraro</t>
  </si>
  <si>
    <t>Tadas</t>
  </si>
  <si>
    <t>Denisevivius</t>
  </si>
  <si>
    <t>Istvan</t>
  </si>
  <si>
    <t>Nagy</t>
  </si>
  <si>
    <t xml:space="preserve">Valeria </t>
  </si>
  <si>
    <t>Ojeda</t>
  </si>
  <si>
    <t>Kevin Boulet</t>
  </si>
  <si>
    <t>Federico</t>
  </si>
  <si>
    <t>Cerchiari</t>
  </si>
  <si>
    <t>Todor</t>
  </si>
  <si>
    <t>Limberidisz</t>
  </si>
  <si>
    <t>Day Shift</t>
  </si>
  <si>
    <t>Afternoon</t>
  </si>
  <si>
    <t>Night</t>
  </si>
  <si>
    <t>Late Night</t>
  </si>
  <si>
    <t>David</t>
  </si>
  <si>
    <t>Erjon</t>
  </si>
  <si>
    <t>Karamuca</t>
  </si>
  <si>
    <t>Andrea</t>
  </si>
  <si>
    <t>Williams</t>
  </si>
  <si>
    <t>Davide Daffre</t>
  </si>
  <si>
    <t>CLOSED ON MONDAYS</t>
  </si>
  <si>
    <t>Lukas</t>
  </si>
  <si>
    <t>Soska</t>
  </si>
  <si>
    <t>July 15-July 28, 19</t>
  </si>
  <si>
    <t>July 29-Aug 11, 19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</si>
</sst>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0.00_);[Red]\(0.00\)"/>
  </numFmts>
  <fonts count="20">
    <font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b/>
      <sz val="16"/>
      <name val="Arial"/>
      <family val="2"/>
    </font>
    <font>
      <b/>
      <u/>
      <sz val="10"/>
      <name val="Times New Roman"/>
      <family val="1"/>
    </font>
    <font>
      <b/>
      <u/>
      <sz val="9"/>
      <name val="Times New Roman"/>
      <family val="1"/>
    </font>
    <font>
      <b/>
      <i/>
      <u/>
      <sz val="10"/>
      <name val="Times New Roman"/>
      <family val="1"/>
    </font>
    <font>
      <b/>
      <i/>
      <u/>
      <sz val="9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color indexed="10"/>
      <name val="Times New Roman"/>
      <family val="1"/>
    </font>
    <font>
      <b/>
      <sz val="10"/>
      <name val="Arial"/>
      <family val="2"/>
    </font>
    <font>
      <sz val="10"/>
      <color rgb="FFFF0000"/>
      <name val="Times New Roman"/>
      <family val="1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sz val="8"/>
      <name val="Times New Roman"/>
      <family val="1"/>
    </font>
    <font>
      <b/>
      <i/>
      <sz val="10"/>
      <name val="Arial"/>
      <family val="2"/>
    </font>
    <font>
      <b/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7" fontId="8" fillId="2" borderId="0" xfId="0" applyNumberFormat="1" applyFont="1" applyFill="1" applyAlignment="1">
      <alignment horizontal="center"/>
    </xf>
    <xf numFmtId="10" fontId="8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2" fontId="9" fillId="0" borderId="0" xfId="1" applyNumberFormat="1" applyFont="1" applyAlignment="1">
      <alignment horizontal="center"/>
    </xf>
    <xf numFmtId="2" fontId="1" fillId="0" borderId="0" xfId="0" applyNumberFormat="1" applyFont="1"/>
    <xf numFmtId="15" fontId="10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1" fillId="3" borderId="0" xfId="0" applyNumberFormat="1" applyFont="1" applyFill="1" applyAlignment="1">
      <alignment horizontal="center"/>
    </xf>
    <xf numFmtId="39" fontId="10" fillId="0" borderId="0" xfId="1" applyNumberFormat="1" applyFont="1"/>
    <xf numFmtId="39" fontId="1" fillId="0" borderId="0" xfId="1" applyNumberFormat="1" applyFont="1"/>
    <xf numFmtId="0" fontId="8" fillId="0" borderId="1" xfId="0" applyFont="1" applyBorder="1" applyAlignment="1">
      <alignment horizontal="center"/>
    </xf>
    <xf numFmtId="3" fontId="11" fillId="0" borderId="2" xfId="1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2" fontId="13" fillId="0" borderId="0" xfId="0" applyNumberFormat="1" applyFont="1" applyFill="1"/>
    <xf numFmtId="2" fontId="13" fillId="0" borderId="0" xfId="0" applyNumberFormat="1" applyFont="1"/>
    <xf numFmtId="0" fontId="2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/>
    <xf numFmtId="4" fontId="8" fillId="0" borderId="2" xfId="1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4" fontId="11" fillId="3" borderId="6" xfId="1" applyNumberFormat="1" applyFont="1" applyFill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2" fontId="11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3" fontId="11" fillId="0" borderId="0" xfId="1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0" fontId="10" fillId="0" borderId="0" xfId="0" applyFont="1"/>
    <xf numFmtId="15" fontId="1" fillId="0" borderId="0" xfId="0" applyNumberFormat="1" applyFont="1" applyAlignment="1">
      <alignment horizontal="left"/>
    </xf>
    <xf numFmtId="15" fontId="2" fillId="0" borderId="0" xfId="0" applyNumberFormat="1" applyFont="1" applyAlignment="1">
      <alignment horizontal="left"/>
    </xf>
    <xf numFmtId="3" fontId="8" fillId="0" borderId="2" xfId="1" applyNumberFormat="1" applyFont="1" applyBorder="1" applyAlignment="1">
      <alignment horizontal="center"/>
    </xf>
    <xf numFmtId="3" fontId="18" fillId="0" borderId="0" xfId="0" applyNumberFormat="1" applyFont="1"/>
    <xf numFmtId="2" fontId="11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4" fontId="11" fillId="0" borderId="0" xfId="1" applyNumberFormat="1" applyFont="1" applyBorder="1" applyAlignment="1">
      <alignment horizontal="center"/>
    </xf>
    <xf numFmtId="164" fontId="8" fillId="0" borderId="0" xfId="0" applyNumberFormat="1" applyFont="1" applyFill="1" applyBorder="1" applyAlignment="1"/>
    <xf numFmtId="9" fontId="8" fillId="0" borderId="0" xfId="0" applyNumberFormat="1" applyFont="1" applyBorder="1" applyAlignment="1">
      <alignment horizontal="center"/>
    </xf>
    <xf numFmtId="4" fontId="19" fillId="0" borderId="3" xfId="0" applyNumberFormat="1" applyFont="1" applyBorder="1" applyAlignment="1">
      <alignment horizontal="center"/>
    </xf>
    <xf numFmtId="2" fontId="19" fillId="0" borderId="0" xfId="0" applyNumberFormat="1" applyFont="1" applyFill="1" applyBorder="1" applyAlignment="1">
      <alignment horizontal="center"/>
    </xf>
    <xf numFmtId="0" fontId="19" fillId="3" borderId="0" xfId="0" applyFont="1" applyFill="1" applyBorder="1" applyAlignment="1">
      <alignment horizontal="center"/>
    </xf>
    <xf numFmtId="4" fontId="19" fillId="0" borderId="2" xfId="1" applyNumberFormat="1" applyFont="1" applyBorder="1" applyAlignment="1">
      <alignment horizontal="center"/>
    </xf>
    <xf numFmtId="164" fontId="8" fillId="0" borderId="0" xfId="0" applyNumberFormat="1" applyFont="1" applyFill="1" applyBorder="1" applyAlignment="1">
      <alignment horizontal="center"/>
    </xf>
    <xf numFmtId="15" fontId="8" fillId="0" borderId="0" xfId="0" applyNumberFormat="1" applyFont="1" applyBorder="1" applyAlignment="1">
      <alignment horizontal="center"/>
    </xf>
    <xf numFmtId="2" fontId="0" fillId="0" borderId="0" xfId="0" applyNumberFormat="1"/>
    <xf numFmtId="0" fontId="19" fillId="0" borderId="0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5"/>
  <sheetViews>
    <sheetView topLeftCell="A4" zoomScaleNormal="100" workbookViewId="0">
      <pane ySplit="5" topLeftCell="A9" activePane="bottomLeft" state="frozen"/>
      <selection activeCell="A4" sqref="A4"/>
      <selection pane="bottomLeft" activeCell="L31" sqref="L31"/>
    </sheetView>
  </sheetViews>
  <sheetFormatPr defaultRowHeight="12.75"/>
  <cols>
    <col min="1" max="1" width="16.7109375" customWidth="1"/>
    <col min="2" max="4" width="8.7109375" customWidth="1"/>
    <col min="5" max="5" width="10.7109375" customWidth="1"/>
    <col min="6" max="6" width="8.7109375" customWidth="1"/>
    <col min="7" max="7" width="9.7109375" customWidth="1"/>
    <col min="8" max="8" width="7.7109375" customWidth="1"/>
    <col min="9" max="9" width="8.7109375" customWidth="1"/>
    <col min="10" max="10" width="9.7109375" customWidth="1"/>
    <col min="11" max="12" width="7.7109375" customWidth="1"/>
    <col min="13" max="13" width="8.7109375" customWidth="1"/>
    <col min="14" max="14" width="9.7109375" customWidth="1"/>
    <col min="15" max="15" width="8.7109375" customWidth="1"/>
    <col min="16" max="17" width="7.7109375" customWidth="1"/>
    <col min="18" max="18" width="8.7109375" customWidth="1"/>
    <col min="19" max="19" width="0.42578125" customWidth="1"/>
    <col min="20" max="20" width="8.7109375" customWidth="1"/>
    <col min="21" max="24" width="6.7109375" customWidth="1"/>
    <col min="25" max="25" width="7.7109375" customWidth="1"/>
    <col min="26" max="26" width="9.7109375" customWidth="1"/>
    <col min="27" max="30" width="8.7109375" customWidth="1"/>
    <col min="31" max="31" width="6.7109375" customWidth="1"/>
    <col min="32" max="32" width="9.7109375" customWidth="1"/>
    <col min="33" max="33" width="6.7109375" customWidth="1"/>
    <col min="34" max="34" width="1.7109375" customWidth="1"/>
    <col min="35" max="36" width="8.7109375" customWidth="1"/>
    <col min="37" max="37" width="6.7109375" customWidth="1"/>
    <col min="38" max="38" width="1.7109375" customWidth="1"/>
    <col min="39" max="41" width="8.7109375" customWidth="1"/>
    <col min="42" max="42" width="1.7109375" customWidth="1"/>
    <col min="43" max="45" width="8.7109375" customWidth="1"/>
    <col min="46" max="46" width="1.7109375" customWidth="1"/>
    <col min="47" max="47" width="8.7109375" customWidth="1"/>
    <col min="48" max="48" width="12.7109375" customWidth="1"/>
    <col min="49" max="49" width="8.7109375" customWidth="1"/>
    <col min="50" max="50" width="1.7109375" customWidth="1"/>
    <col min="51" max="51" width="23.7109375" customWidth="1"/>
    <col min="52" max="54" width="10.7109375" customWidth="1"/>
    <col min="55" max="55" width="1.7109375" customWidth="1"/>
    <col min="56" max="58" width="10.7109375" customWidth="1"/>
    <col min="59" max="59" width="1.7109375" customWidth="1"/>
    <col min="60" max="62" width="10.7109375" customWidth="1"/>
    <col min="63" max="63" width="1.7109375" customWidth="1"/>
    <col min="64" max="66" width="10.7109375" customWidth="1"/>
    <col min="67" max="67" width="1.7109375" customWidth="1"/>
    <col min="68" max="70" width="10.7109375" customWidth="1"/>
    <col min="71" max="71" width="1.7109375" customWidth="1"/>
    <col min="72" max="74" width="10.7109375" customWidth="1"/>
    <col min="75" max="75" width="1.7109375" customWidth="1"/>
    <col min="76" max="76" width="10.7109375" customWidth="1"/>
    <col min="77" max="78" width="10.28515625" bestFit="1" customWidth="1"/>
    <col min="79" max="79" width="1.7109375" customWidth="1"/>
    <col min="80" max="82" width="10.28515625" bestFit="1" customWidth="1"/>
    <col min="83" max="83" width="1.7109375" customWidth="1"/>
    <col min="84" max="86" width="10.28515625" bestFit="1" customWidth="1"/>
    <col min="87" max="87" width="1.7109375" customWidth="1"/>
    <col min="88" max="90" width="10.28515625" bestFit="1" customWidth="1"/>
    <col min="91" max="91" width="1.7109375" customWidth="1"/>
    <col min="95" max="95" width="1.7109375" customWidth="1"/>
    <col min="96" max="98" width="10.7109375" customWidth="1"/>
    <col min="99" max="99" width="1.7109375" customWidth="1"/>
    <col min="103" max="103" width="1.7109375" customWidth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.75" customHeight="1">
      <c r="A4" s="1"/>
      <c r="B4" s="3" t="s">
        <v>12</v>
      </c>
      <c r="C4" s="1"/>
      <c r="D4" s="28"/>
      <c r="E4" s="1"/>
      <c r="F4" s="1"/>
      <c r="G4" s="26" t="s">
        <v>20</v>
      </c>
      <c r="H4" s="29"/>
      <c r="I4" s="29" t="s">
        <v>90</v>
      </c>
      <c r="J4" s="29"/>
      <c r="K4" s="29"/>
      <c r="L4" s="29"/>
      <c r="M4" s="29"/>
      <c r="N4" s="29"/>
      <c r="O4" s="29"/>
      <c r="P4" s="2"/>
      <c r="Q4" s="2"/>
      <c r="R4" s="2"/>
      <c r="S4" s="2"/>
      <c r="T4" s="2" t="s">
        <v>13</v>
      </c>
      <c r="U4" s="2"/>
      <c r="V4" s="2"/>
      <c r="W4" s="2"/>
      <c r="X4" s="2"/>
      <c r="Y4" s="2"/>
      <c r="Z4" s="2"/>
      <c r="AA4" s="1"/>
      <c r="AB4" s="1"/>
      <c r="AC4" s="1"/>
      <c r="AD4" s="1"/>
    </row>
    <row r="5" spans="1:30" ht="18.75" customHeight="1">
      <c r="A5" s="4" t="s">
        <v>2</v>
      </c>
      <c r="B5" s="4"/>
      <c r="C5" s="4" t="s">
        <v>1</v>
      </c>
      <c r="D5" s="4" t="s">
        <v>14</v>
      </c>
      <c r="E5" s="5" t="s">
        <v>15</v>
      </c>
      <c r="F5" s="6" t="s">
        <v>18</v>
      </c>
      <c r="G5" s="6" t="s">
        <v>71</v>
      </c>
      <c r="H5" s="6" t="s">
        <v>73</v>
      </c>
      <c r="I5" s="6" t="s">
        <v>60</v>
      </c>
      <c r="J5" s="6" t="s">
        <v>62</v>
      </c>
      <c r="K5" s="6" t="s">
        <v>23</v>
      </c>
      <c r="L5" s="6" t="s">
        <v>84</v>
      </c>
      <c r="M5" s="6" t="s">
        <v>85</v>
      </c>
      <c r="N5" s="6" t="s">
        <v>78</v>
      </c>
      <c r="O5" s="6" t="s">
        <v>64</v>
      </c>
      <c r="P5" s="6" t="s">
        <v>25</v>
      </c>
      <c r="Q5" s="6" t="s">
        <v>16</v>
      </c>
      <c r="R5" s="6" t="s">
        <v>76</v>
      </c>
      <c r="S5" s="6"/>
      <c r="T5" s="6" t="s">
        <v>22</v>
      </c>
      <c r="U5" s="6" t="s">
        <v>29</v>
      </c>
      <c r="V5" s="6" t="s">
        <v>27</v>
      </c>
      <c r="W5" s="6" t="s">
        <v>66</v>
      </c>
      <c r="X5" s="6" t="s">
        <v>91</v>
      </c>
      <c r="Y5" s="6" t="s">
        <v>87</v>
      </c>
      <c r="Z5" s="6" t="s">
        <v>69</v>
      </c>
      <c r="AA5" s="6" t="s">
        <v>3</v>
      </c>
      <c r="AB5" s="6" t="s">
        <v>3</v>
      </c>
      <c r="AC5" s="6"/>
      <c r="AD5" s="6"/>
    </row>
    <row r="6" spans="1:30" ht="18.75" customHeight="1">
      <c r="A6" s="8" t="s">
        <v>93</v>
      </c>
      <c r="B6" s="4" t="s">
        <v>4</v>
      </c>
      <c r="C6" s="4" t="s">
        <v>3</v>
      </c>
      <c r="D6" s="4" t="s">
        <v>5</v>
      </c>
      <c r="E6" s="4" t="s">
        <v>3</v>
      </c>
      <c r="F6" s="6" t="s">
        <v>19</v>
      </c>
      <c r="G6" s="6" t="s">
        <v>72</v>
      </c>
      <c r="H6" s="6" t="s">
        <v>74</v>
      </c>
      <c r="I6" s="6" t="s">
        <v>61</v>
      </c>
      <c r="J6" s="6" t="s">
        <v>63</v>
      </c>
      <c r="K6" s="6" t="s">
        <v>24</v>
      </c>
      <c r="L6" s="6" t="s">
        <v>61</v>
      </c>
      <c r="M6" s="6" t="s">
        <v>86</v>
      </c>
      <c r="N6" s="6" t="s">
        <v>79</v>
      </c>
      <c r="O6" s="6" t="s">
        <v>65</v>
      </c>
      <c r="P6" s="6" t="s">
        <v>26</v>
      </c>
      <c r="Q6" s="6" t="s">
        <v>17</v>
      </c>
      <c r="R6" s="6" t="s">
        <v>77</v>
      </c>
      <c r="S6" s="6"/>
      <c r="T6" s="7" t="s">
        <v>21</v>
      </c>
      <c r="U6" s="7" t="s">
        <v>30</v>
      </c>
      <c r="V6" s="7" t="s">
        <v>28</v>
      </c>
      <c r="W6" s="7" t="s">
        <v>67</v>
      </c>
      <c r="X6" s="6" t="s">
        <v>92</v>
      </c>
      <c r="Y6" s="6" t="s">
        <v>88</v>
      </c>
      <c r="Z6" s="7" t="s">
        <v>70</v>
      </c>
      <c r="AA6" s="6" t="s">
        <v>7</v>
      </c>
      <c r="AB6" s="6" t="s">
        <v>8</v>
      </c>
      <c r="AC6" s="6"/>
      <c r="AD6" s="6"/>
    </row>
    <row r="7" spans="1:30" ht="18.75" customHeight="1">
      <c r="A7" s="8" t="s">
        <v>59</v>
      </c>
      <c r="B7" s="4" t="s">
        <v>9</v>
      </c>
      <c r="C7" s="9">
        <v>0.04</v>
      </c>
      <c r="D7" s="9">
        <v>0.01</v>
      </c>
      <c r="E7" s="10">
        <v>0.1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 t="s">
        <v>6</v>
      </c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ht="18.75" customHeight="1">
      <c r="A8" s="8" t="s">
        <v>10</v>
      </c>
      <c r="B8" s="4"/>
      <c r="C8" s="4"/>
      <c r="D8" s="4"/>
      <c r="E8" s="11"/>
      <c r="F8" s="12">
        <v>6</v>
      </c>
      <c r="G8" s="12">
        <v>5</v>
      </c>
      <c r="H8" s="12">
        <v>5</v>
      </c>
      <c r="I8" s="12">
        <v>5</v>
      </c>
      <c r="J8" s="12">
        <v>5</v>
      </c>
      <c r="K8" s="12">
        <v>5</v>
      </c>
      <c r="L8" s="12">
        <v>5</v>
      </c>
      <c r="M8" s="12">
        <v>5</v>
      </c>
      <c r="N8" s="12">
        <v>5</v>
      </c>
      <c r="O8" s="12">
        <v>5</v>
      </c>
      <c r="P8" s="12">
        <v>5</v>
      </c>
      <c r="Q8" s="12">
        <v>5</v>
      </c>
      <c r="R8" s="12">
        <v>5</v>
      </c>
      <c r="S8" s="12">
        <v>60</v>
      </c>
      <c r="T8" s="12">
        <v>6</v>
      </c>
      <c r="U8" s="12">
        <v>6</v>
      </c>
      <c r="V8" s="12">
        <v>6</v>
      </c>
      <c r="W8" s="12">
        <v>6</v>
      </c>
      <c r="X8" s="12">
        <v>6</v>
      </c>
      <c r="Y8" s="12">
        <v>6</v>
      </c>
      <c r="Z8" s="12">
        <v>6</v>
      </c>
      <c r="AA8" s="13"/>
      <c r="AB8" s="13"/>
      <c r="AC8" s="13"/>
      <c r="AD8" s="13"/>
    </row>
    <row r="9" spans="1:30" ht="18.75" customHeight="1">
      <c r="A9" s="14">
        <v>43661</v>
      </c>
      <c r="B9" s="15">
        <f>SUM(K49:O49)/15%</f>
        <v>0</v>
      </c>
      <c r="C9" s="16">
        <f t="shared" ref="C9:C22" si="0">B9*15%/15*4</f>
        <v>0</v>
      </c>
      <c r="D9" s="16">
        <f t="shared" ref="D9:D22" si="1">B9*15%/15*1</f>
        <v>0</v>
      </c>
      <c r="E9" s="27">
        <f t="shared" ref="E9:E22" si="2">B9*15%/15*10</f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7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9">
        <f t="shared" ref="AA9:AA22" si="3">SUM(C9:E9)</f>
        <v>0</v>
      </c>
      <c r="AB9" s="18">
        <f t="shared" ref="AB9:AB22" si="4">SUM(F9:Z9)</f>
        <v>0</v>
      </c>
      <c r="AC9" s="18">
        <f t="shared" ref="AC9:AC11" si="5">AA9-AB9</f>
        <v>0</v>
      </c>
      <c r="AD9" s="18"/>
    </row>
    <row r="10" spans="1:30" ht="18.75" customHeight="1">
      <c r="A10" s="14">
        <f>+A9+1</f>
        <v>43662</v>
      </c>
      <c r="B10" s="15">
        <f>SUM(K50:O50)/15%</f>
        <v>8018.3333333333339</v>
      </c>
      <c r="C10" s="16">
        <f t="shared" si="0"/>
        <v>320.73333333333335</v>
      </c>
      <c r="D10" s="16">
        <f t="shared" si="1"/>
        <v>80.183333333333337</v>
      </c>
      <c r="E10" s="27">
        <f t="shared" si="2"/>
        <v>801.83333333333337</v>
      </c>
      <c r="F10" s="15">
        <f>57.59+60.66</f>
        <v>118.25</v>
      </c>
      <c r="G10" s="15">
        <v>59.53</v>
      </c>
      <c r="H10" s="15">
        <v>59.53</v>
      </c>
      <c r="I10" s="15">
        <v>59.53</v>
      </c>
      <c r="J10" s="15">
        <v>59.53</v>
      </c>
      <c r="K10" s="15">
        <v>0</v>
      </c>
      <c r="L10" s="15">
        <f>30.35+59.53</f>
        <v>89.88</v>
      </c>
      <c r="M10" s="15">
        <v>0</v>
      </c>
      <c r="N10" s="15">
        <v>0</v>
      </c>
      <c r="O10" s="15">
        <f>57.59+30.34+59.53</f>
        <v>147.46</v>
      </c>
      <c r="P10" s="15">
        <v>0</v>
      </c>
      <c r="Q10" s="15">
        <f>60.66+59.53</f>
        <v>120.19</v>
      </c>
      <c r="R10" s="15">
        <v>0</v>
      </c>
      <c r="S10" s="17">
        <v>0</v>
      </c>
      <c r="T10" s="15">
        <f>8.64+8.33</f>
        <v>16.97</v>
      </c>
      <c r="U10" s="15">
        <v>0</v>
      </c>
      <c r="V10" s="15">
        <f>57.59+30.34+8.33</f>
        <v>96.26</v>
      </c>
      <c r="W10" s="15">
        <v>8.33</v>
      </c>
      <c r="X10" s="15">
        <f>8.64+8.33</f>
        <v>16.97</v>
      </c>
      <c r="Y10" s="15">
        <f>21.26+8.33</f>
        <v>29.590000000000003</v>
      </c>
      <c r="Z10" s="15">
        <v>0</v>
      </c>
      <c r="AA10" s="19">
        <f t="shared" ref="AA10:AA11" si="6">SUM(C10:E10)</f>
        <v>1202.75</v>
      </c>
      <c r="AB10" s="18">
        <f t="shared" si="4"/>
        <v>882.02000000000021</v>
      </c>
      <c r="AC10" s="18">
        <f t="shared" si="5"/>
        <v>320.72999999999979</v>
      </c>
      <c r="AD10" s="18"/>
    </row>
    <row r="11" spans="1:30" ht="18.75" customHeight="1">
      <c r="A11" s="14">
        <f>+A10+1</f>
        <v>43663</v>
      </c>
      <c r="B11" s="15">
        <f t="shared" ref="B11:B22" si="7">SUM(K51:O51)/15%</f>
        <v>5446.2000000000007</v>
      </c>
      <c r="C11" s="16">
        <f t="shared" si="0"/>
        <v>217.84800000000001</v>
      </c>
      <c r="D11" s="16">
        <f t="shared" si="1"/>
        <v>54.462000000000003</v>
      </c>
      <c r="E11" s="27">
        <f t="shared" si="2"/>
        <v>544.62</v>
      </c>
      <c r="F11" s="15">
        <v>71.150000000000006</v>
      </c>
      <c r="G11" s="15">
        <v>18.12</v>
      </c>
      <c r="H11" s="15">
        <v>71.150000000000006</v>
      </c>
      <c r="I11" s="15">
        <v>0</v>
      </c>
      <c r="J11" s="15">
        <v>0</v>
      </c>
      <c r="K11" s="15">
        <v>0</v>
      </c>
      <c r="L11" s="15">
        <v>18.12</v>
      </c>
      <c r="M11" s="15">
        <f>25.6+71.15</f>
        <v>96.75</v>
      </c>
      <c r="N11" s="15">
        <v>71.150000000000006</v>
      </c>
      <c r="O11" s="15">
        <f>8.53+71.15</f>
        <v>79.680000000000007</v>
      </c>
      <c r="P11" s="15">
        <f>17.06+71.15</f>
        <v>88.210000000000008</v>
      </c>
      <c r="Q11" s="15">
        <f>18.12+8.53</f>
        <v>26.65</v>
      </c>
      <c r="R11" s="15">
        <v>0</v>
      </c>
      <c r="S11" s="17"/>
      <c r="T11" s="15">
        <f>9.07-3.1</f>
        <v>5.9700000000000006</v>
      </c>
      <c r="U11" s="15">
        <v>0</v>
      </c>
      <c r="V11" s="15">
        <v>12.4</v>
      </c>
      <c r="W11" s="15">
        <v>0</v>
      </c>
      <c r="X11" s="15">
        <f>14.23-3.1</f>
        <v>11.13</v>
      </c>
      <c r="Y11" s="15">
        <f>3.17+14.23-3.1</f>
        <v>14.299999999999999</v>
      </c>
      <c r="Z11" s="15">
        <f>3.17+14.23-3.1</f>
        <v>14.299999999999999</v>
      </c>
      <c r="AA11" s="19">
        <f t="shared" si="6"/>
        <v>816.93000000000006</v>
      </c>
      <c r="AB11" s="18">
        <f t="shared" si="4"/>
        <v>599.07999999999993</v>
      </c>
      <c r="AC11" s="18">
        <f t="shared" si="5"/>
        <v>217.85000000000014</v>
      </c>
      <c r="AD11" s="18"/>
    </row>
    <row r="12" spans="1:30" ht="18.75" customHeight="1">
      <c r="A12" s="14">
        <f t="shared" ref="A12:A22" si="8">+A11+1</f>
        <v>43664</v>
      </c>
      <c r="B12" s="15">
        <f t="shared" si="7"/>
        <v>6453</v>
      </c>
      <c r="C12" s="16">
        <f t="shared" si="0"/>
        <v>258.12</v>
      </c>
      <c r="D12" s="16">
        <f t="shared" si="1"/>
        <v>64.53</v>
      </c>
      <c r="E12" s="27">
        <f t="shared" si="2"/>
        <v>645.29999999999995</v>
      </c>
      <c r="F12" s="15">
        <v>76.31</v>
      </c>
      <c r="G12" s="15">
        <v>0</v>
      </c>
      <c r="H12" s="15">
        <v>76.31</v>
      </c>
      <c r="I12" s="15">
        <f>22.75+76.31</f>
        <v>99.06</v>
      </c>
      <c r="J12" s="15">
        <f>22.75+76.31</f>
        <v>99.06</v>
      </c>
      <c r="K12" s="15">
        <v>0</v>
      </c>
      <c r="L12" s="15">
        <v>0</v>
      </c>
      <c r="M12" s="15">
        <f>21+76.31</f>
        <v>97.31</v>
      </c>
      <c r="N12" s="15">
        <v>0</v>
      </c>
      <c r="O12" s="15">
        <f>22.75+6.99</f>
        <v>29.740000000000002</v>
      </c>
      <c r="P12" s="15">
        <f>76.31+0.99</f>
        <v>77.3</v>
      </c>
      <c r="Q12" s="15">
        <f>13.98+76.31</f>
        <v>90.29</v>
      </c>
      <c r="R12" s="15">
        <v>0</v>
      </c>
      <c r="S12" s="17"/>
      <c r="T12" s="15">
        <v>0</v>
      </c>
      <c r="U12" s="15">
        <f>3.41+13.35</f>
        <v>16.759999999999998</v>
      </c>
      <c r="V12" s="15">
        <f>3.41+13.35</f>
        <v>16.759999999999998</v>
      </c>
      <c r="W12" s="15">
        <v>0</v>
      </c>
      <c r="X12" s="15">
        <v>0</v>
      </c>
      <c r="Y12" s="15">
        <v>13.38</v>
      </c>
      <c r="Z12" s="15">
        <f>4.2+13.35</f>
        <v>17.55</v>
      </c>
      <c r="AA12" s="19">
        <f t="shared" si="3"/>
        <v>967.94999999999993</v>
      </c>
      <c r="AB12" s="18">
        <f t="shared" si="4"/>
        <v>709.82999999999993</v>
      </c>
      <c r="AC12" s="18">
        <f>AA12-AB12</f>
        <v>258.12</v>
      </c>
      <c r="AD12" s="18"/>
    </row>
    <row r="13" spans="1:30" ht="18.75" customHeight="1">
      <c r="A13" s="14">
        <f t="shared" si="8"/>
        <v>43665</v>
      </c>
      <c r="B13" s="15">
        <f>SUM(K53:O53)/15%</f>
        <v>8749.4</v>
      </c>
      <c r="C13" s="16">
        <f t="shared" si="0"/>
        <v>349.97599999999994</v>
      </c>
      <c r="D13" s="16">
        <f t="shared" si="1"/>
        <v>87.493999999999986</v>
      </c>
      <c r="E13" s="27">
        <f t="shared" si="2"/>
        <v>874.93999999999983</v>
      </c>
      <c r="F13" s="15">
        <v>72.349999999999994</v>
      </c>
      <c r="G13" s="15">
        <f>27.48+72.35</f>
        <v>99.83</v>
      </c>
      <c r="H13" s="15">
        <v>72.349999999999994</v>
      </c>
      <c r="I13" s="15">
        <v>0</v>
      </c>
      <c r="J13" s="15">
        <v>72.349999999999994</v>
      </c>
      <c r="K13" s="15">
        <v>0</v>
      </c>
      <c r="L13" s="15">
        <v>72.349999999999994</v>
      </c>
      <c r="M13" s="15">
        <f>14.72+72.35</f>
        <v>87.07</v>
      </c>
      <c r="N13" s="15">
        <f>14.72+82.44</f>
        <v>97.16</v>
      </c>
      <c r="O13" s="15">
        <v>72.349999999999994</v>
      </c>
      <c r="P13" s="15">
        <f>14.72+27.48+72.35</f>
        <v>114.55</v>
      </c>
      <c r="Q13" s="15">
        <f>27.48+72.35</f>
        <v>99.83</v>
      </c>
      <c r="R13" s="15">
        <v>0</v>
      </c>
      <c r="S13" s="17">
        <v>0</v>
      </c>
      <c r="T13" s="15">
        <f>14.72+16.28</f>
        <v>31</v>
      </c>
      <c r="U13" s="15">
        <v>0</v>
      </c>
      <c r="V13" s="15">
        <v>16.28</v>
      </c>
      <c r="W13" s="15">
        <f>2.94+16.49</f>
        <v>19.43</v>
      </c>
      <c r="X13" s="15">
        <v>16.28</v>
      </c>
      <c r="Y13" s="15">
        <v>16.28</v>
      </c>
      <c r="Z13" s="15">
        <v>2.97</v>
      </c>
      <c r="AA13" s="19">
        <f t="shared" si="3"/>
        <v>1312.4099999999999</v>
      </c>
      <c r="AB13" s="18">
        <f t="shared" si="4"/>
        <v>962.43</v>
      </c>
      <c r="AC13" s="18">
        <f t="shared" ref="AC13:AC22" si="9">AA13-AB13</f>
        <v>349.9799999999999</v>
      </c>
      <c r="AD13" s="18"/>
    </row>
    <row r="14" spans="1:30" ht="18.75" customHeight="1">
      <c r="A14" s="14">
        <f>+A13+1</f>
        <v>43666</v>
      </c>
      <c r="B14" s="15">
        <f t="shared" si="7"/>
        <v>8508.2000000000007</v>
      </c>
      <c r="C14" s="16">
        <f t="shared" si="0"/>
        <v>340.32800000000003</v>
      </c>
      <c r="D14" s="16">
        <f t="shared" si="1"/>
        <v>85.082000000000008</v>
      </c>
      <c r="E14" s="27">
        <f t="shared" si="2"/>
        <v>850.82</v>
      </c>
      <c r="F14" s="15">
        <v>61.42</v>
      </c>
      <c r="G14" s="15">
        <v>0</v>
      </c>
      <c r="H14" s="15">
        <v>0</v>
      </c>
      <c r="I14" s="15">
        <f>48.96+13.07+61.42</f>
        <v>123.45</v>
      </c>
      <c r="J14" s="15">
        <v>61.42</v>
      </c>
      <c r="K14" s="15">
        <v>0</v>
      </c>
      <c r="L14" s="15">
        <f>13.07+61.42</f>
        <v>74.490000000000009</v>
      </c>
      <c r="M14" s="15">
        <f>39.25+61.42</f>
        <v>100.67</v>
      </c>
      <c r="N14" s="15">
        <v>61.42</v>
      </c>
      <c r="O14" s="15">
        <f>48.96+13.07+61.42</f>
        <v>123.45</v>
      </c>
      <c r="P14" s="15">
        <f>26.14+61.42</f>
        <v>87.56</v>
      </c>
      <c r="Q14" s="15">
        <f>13.07+61.42</f>
        <v>74.490000000000009</v>
      </c>
      <c r="R14" s="15">
        <v>0</v>
      </c>
      <c r="S14" s="17"/>
      <c r="T14" s="15">
        <f>13.07+20.41+14.35</f>
        <v>47.830000000000005</v>
      </c>
      <c r="U14" s="15">
        <f>7.34+14.33</f>
        <v>21.67</v>
      </c>
      <c r="V14" s="15">
        <f>48.96+3.27+14.33</f>
        <v>66.56</v>
      </c>
      <c r="W14" s="15">
        <v>0</v>
      </c>
      <c r="X14" s="15">
        <v>14.33</v>
      </c>
      <c r="Y14" s="15">
        <v>0</v>
      </c>
      <c r="Z14" s="15">
        <f>7.34+9.8</f>
        <v>17.14</v>
      </c>
      <c r="AA14" s="19">
        <f t="shared" si="3"/>
        <v>1276.23</v>
      </c>
      <c r="AB14" s="18">
        <f t="shared" si="4"/>
        <v>935.90000000000009</v>
      </c>
      <c r="AC14" s="18">
        <f t="shared" si="9"/>
        <v>340.32999999999993</v>
      </c>
      <c r="AD14" s="18"/>
    </row>
    <row r="15" spans="1:30" ht="18.75" customHeight="1">
      <c r="A15" s="14">
        <f t="shared" si="8"/>
        <v>43667</v>
      </c>
      <c r="B15" s="15">
        <f t="shared" si="7"/>
        <v>8434.8000000000011</v>
      </c>
      <c r="C15" s="16">
        <f t="shared" si="0"/>
        <v>337.392</v>
      </c>
      <c r="D15" s="16">
        <f t="shared" si="1"/>
        <v>84.347999999999999</v>
      </c>
      <c r="E15" s="27">
        <f t="shared" si="2"/>
        <v>843.48</v>
      </c>
      <c r="F15" s="15">
        <v>0</v>
      </c>
      <c r="G15" s="15">
        <f>34.94+75.3</f>
        <v>110.24</v>
      </c>
      <c r="H15" s="15">
        <f>34.94+27.95</f>
        <v>62.89</v>
      </c>
      <c r="I15" s="15">
        <f>9.33+75.3</f>
        <v>84.63</v>
      </c>
      <c r="J15" s="15">
        <f>34.94+27.95</f>
        <v>62.89</v>
      </c>
      <c r="K15" s="15">
        <v>0</v>
      </c>
      <c r="L15" s="15">
        <f>34.94+75.3</f>
        <v>110.24</v>
      </c>
      <c r="M15" s="15">
        <v>75.3</v>
      </c>
      <c r="N15" s="15">
        <v>75.3</v>
      </c>
      <c r="O15" s="15">
        <f>18.66+75.3+4.62</f>
        <v>98.58</v>
      </c>
      <c r="P15" s="15">
        <f>34.94+75.3</f>
        <v>110.24</v>
      </c>
      <c r="Q15" s="15">
        <f>34.94+18.66</f>
        <v>53.599999999999994</v>
      </c>
      <c r="R15" s="15">
        <v>0</v>
      </c>
      <c r="S15" s="17"/>
      <c r="T15" s="15">
        <f>5.24+10.24</f>
        <v>15.48</v>
      </c>
      <c r="U15" s="15">
        <v>0</v>
      </c>
      <c r="V15" s="15">
        <v>13.18</v>
      </c>
      <c r="W15" s="15">
        <v>5.24</v>
      </c>
      <c r="X15" s="15">
        <f>5.24+13.18</f>
        <v>18.420000000000002</v>
      </c>
      <c r="Y15" s="15">
        <f>5.24+13.18</f>
        <v>18.420000000000002</v>
      </c>
      <c r="Z15" s="15">
        <v>13.18</v>
      </c>
      <c r="AA15" s="19">
        <f t="shared" si="3"/>
        <v>1265.22</v>
      </c>
      <c r="AB15" s="18">
        <f t="shared" si="4"/>
        <v>927.82999999999993</v>
      </c>
      <c r="AC15" s="18">
        <f t="shared" si="9"/>
        <v>337.3900000000001</v>
      </c>
      <c r="AD15" s="18"/>
    </row>
    <row r="16" spans="1:30" ht="18.75" customHeight="1">
      <c r="A16" s="14">
        <f t="shared" si="8"/>
        <v>43668</v>
      </c>
      <c r="B16" s="15">
        <f t="shared" si="7"/>
        <v>0</v>
      </c>
      <c r="C16" s="16">
        <f t="shared" si="0"/>
        <v>0</v>
      </c>
      <c r="D16" s="16">
        <f t="shared" si="1"/>
        <v>0</v>
      </c>
      <c r="E16" s="27">
        <f t="shared" si="2"/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7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9">
        <f t="shared" si="3"/>
        <v>0</v>
      </c>
      <c r="AB16" s="18">
        <f t="shared" si="4"/>
        <v>0</v>
      </c>
      <c r="AC16" s="18">
        <f>AA16-AB16</f>
        <v>0</v>
      </c>
      <c r="AD16" s="18"/>
    </row>
    <row r="17" spans="1:38" ht="18.75" customHeight="1">
      <c r="A17" s="14">
        <f t="shared" si="8"/>
        <v>43669</v>
      </c>
      <c r="B17" s="15">
        <f t="shared" si="7"/>
        <v>7530.2</v>
      </c>
      <c r="C17" s="16">
        <f t="shared" si="0"/>
        <v>301.20799999999997</v>
      </c>
      <c r="D17" s="16">
        <f t="shared" si="1"/>
        <v>75.301999999999992</v>
      </c>
      <c r="E17" s="27">
        <f t="shared" si="2"/>
        <v>753.02</v>
      </c>
      <c r="F17" s="15">
        <v>0</v>
      </c>
      <c r="G17" s="15">
        <v>87.99</v>
      </c>
      <c r="H17" s="15">
        <f>9.26+87.99</f>
        <v>97.25</v>
      </c>
      <c r="I17" s="15">
        <v>0</v>
      </c>
      <c r="J17" s="15">
        <f>19.55+87.99</f>
        <v>107.53999999999999</v>
      </c>
      <c r="K17" s="15">
        <v>0</v>
      </c>
      <c r="L17" s="15">
        <v>0</v>
      </c>
      <c r="M17" s="15">
        <f>27.73+87.99</f>
        <v>115.72</v>
      </c>
      <c r="N17" s="15">
        <f>87.99</f>
        <v>87.99</v>
      </c>
      <c r="O17" s="15">
        <f>18.52+87.99</f>
        <v>106.50999999999999</v>
      </c>
      <c r="P17" s="15">
        <v>0</v>
      </c>
      <c r="Q17" s="15">
        <f>19.55+9.26+87.99</f>
        <v>116.8</v>
      </c>
      <c r="R17" s="15">
        <v>0</v>
      </c>
      <c r="S17" s="17">
        <v>0</v>
      </c>
      <c r="T17" s="15">
        <f>19.55+20.53</f>
        <v>40.08</v>
      </c>
      <c r="U17" s="15">
        <v>0</v>
      </c>
      <c r="V17" s="15">
        <f>19.55</f>
        <v>19.55</v>
      </c>
      <c r="W17" s="15">
        <v>0</v>
      </c>
      <c r="X17" s="15">
        <f>3.92+20.53</f>
        <v>24.450000000000003</v>
      </c>
      <c r="Y17" s="15">
        <v>0</v>
      </c>
      <c r="Z17" s="15">
        <f>3.91+20.53</f>
        <v>24.44</v>
      </c>
      <c r="AA17" s="19">
        <f t="shared" si="3"/>
        <v>1129.53</v>
      </c>
      <c r="AB17" s="18">
        <f t="shared" si="4"/>
        <v>828.32</v>
      </c>
      <c r="AC17" s="18">
        <f t="shared" si="9"/>
        <v>301.20999999999992</v>
      </c>
      <c r="AD17" s="18"/>
    </row>
    <row r="18" spans="1:38" ht="18.75" customHeight="1">
      <c r="A18" s="14">
        <f t="shared" si="8"/>
        <v>43670</v>
      </c>
      <c r="B18" s="15">
        <f t="shared" si="7"/>
        <v>3636.7333333333336</v>
      </c>
      <c r="C18" s="16">
        <f t="shared" si="0"/>
        <v>145.46933333333334</v>
      </c>
      <c r="D18" s="16">
        <f t="shared" si="1"/>
        <v>36.367333333333335</v>
      </c>
      <c r="E18" s="27">
        <f t="shared" si="2"/>
        <v>363.67333333333335</v>
      </c>
      <c r="F18" s="15">
        <f>12.73+4.9</f>
        <v>17.630000000000003</v>
      </c>
      <c r="G18" s="15">
        <v>51.8</v>
      </c>
      <c r="H18" s="15">
        <v>51.8</v>
      </c>
      <c r="I18" s="15">
        <v>12.73</v>
      </c>
      <c r="J18" s="15">
        <v>0</v>
      </c>
      <c r="K18" s="15">
        <v>0</v>
      </c>
      <c r="L18" s="15">
        <v>51.8</v>
      </c>
      <c r="M18" s="15">
        <v>0</v>
      </c>
      <c r="N18" s="15">
        <f>2.45+51.8</f>
        <v>54.25</v>
      </c>
      <c r="O18" s="15">
        <f>12.73+2.45+51.8</f>
        <v>66.97999999999999</v>
      </c>
      <c r="P18" s="15">
        <f>4.9+51.8</f>
        <v>56.699999999999996</v>
      </c>
      <c r="Q18" s="15">
        <v>0</v>
      </c>
      <c r="R18" s="15">
        <v>0</v>
      </c>
      <c r="S18" s="17">
        <v>0</v>
      </c>
      <c r="T18" s="15">
        <f>1.46+10.36</f>
        <v>11.82</v>
      </c>
      <c r="U18" s="15">
        <v>1.91</v>
      </c>
      <c r="V18" s="15">
        <v>10.36</v>
      </c>
      <c r="W18" s="15">
        <v>0</v>
      </c>
      <c r="X18" s="15">
        <f>1.91+10.36</f>
        <v>12.27</v>
      </c>
      <c r="Y18" s="15">
        <v>0</v>
      </c>
      <c r="Z18" s="15">
        <v>0</v>
      </c>
      <c r="AA18" s="19">
        <f t="shared" si="3"/>
        <v>545.51</v>
      </c>
      <c r="AB18" s="18">
        <f t="shared" si="4"/>
        <v>400.05</v>
      </c>
      <c r="AC18" s="18">
        <f t="shared" si="9"/>
        <v>145.45999999999998</v>
      </c>
      <c r="AD18" s="18"/>
      <c r="AL18" t="s">
        <v>11</v>
      </c>
    </row>
    <row r="19" spans="1:38" ht="18.75" customHeight="1">
      <c r="A19" s="14">
        <f t="shared" si="8"/>
        <v>43671</v>
      </c>
      <c r="B19" s="15">
        <f t="shared" ref="B19" si="10">SUM(K59:O59)/15%</f>
        <v>9580.7333333333354</v>
      </c>
      <c r="C19" s="16">
        <f t="shared" si="0"/>
        <v>383.22933333333344</v>
      </c>
      <c r="D19" s="16">
        <f t="shared" si="1"/>
        <v>95.807333333333361</v>
      </c>
      <c r="E19" s="27">
        <f t="shared" si="2"/>
        <v>958.07333333333361</v>
      </c>
      <c r="F19" s="15">
        <v>103.45</v>
      </c>
      <c r="G19" s="15">
        <f>5.21+103.45</f>
        <v>108.66</v>
      </c>
      <c r="H19" s="15">
        <f>30.25+15.59</f>
        <v>45.84</v>
      </c>
      <c r="I19" s="15">
        <v>103.45</v>
      </c>
      <c r="J19" s="15">
        <v>103.45</v>
      </c>
      <c r="K19" s="15">
        <v>0</v>
      </c>
      <c r="L19" s="15">
        <v>103.45</v>
      </c>
      <c r="M19" s="15">
        <f>30.25+103.45</f>
        <v>133.69999999999999</v>
      </c>
      <c r="N19" s="15">
        <v>0</v>
      </c>
      <c r="O19" s="15">
        <v>0</v>
      </c>
      <c r="P19" s="15">
        <f>30.25+5.21+103.45</f>
        <v>138.91</v>
      </c>
      <c r="Q19" s="15">
        <f>10.42+103.45+3.63</f>
        <v>117.5</v>
      </c>
      <c r="R19" s="15">
        <v>0</v>
      </c>
      <c r="S19" s="17">
        <v>0</v>
      </c>
      <c r="T19" s="15">
        <v>0</v>
      </c>
      <c r="U19" s="15">
        <f>4.53+27.59</f>
        <v>32.119999999999997</v>
      </c>
      <c r="V19" s="15">
        <v>0</v>
      </c>
      <c r="W19" s="15">
        <v>0</v>
      </c>
      <c r="X19" s="15">
        <f>3.64+27.59</f>
        <v>31.23</v>
      </c>
      <c r="Y19" s="15">
        <v>0</v>
      </c>
      <c r="Z19" s="15">
        <f>4.53+27.59</f>
        <v>32.119999999999997</v>
      </c>
      <c r="AA19" s="19">
        <f t="shared" si="3"/>
        <v>1437.1100000000004</v>
      </c>
      <c r="AB19" s="18">
        <f t="shared" si="4"/>
        <v>1053.8799999999999</v>
      </c>
      <c r="AC19" s="18">
        <f t="shared" si="9"/>
        <v>383.23000000000047</v>
      </c>
      <c r="AD19" s="18"/>
    </row>
    <row r="20" spans="1:38" ht="18.75" customHeight="1">
      <c r="A20" s="14">
        <f t="shared" si="8"/>
        <v>43672</v>
      </c>
      <c r="B20" s="15">
        <f t="shared" si="7"/>
        <v>14441.333333333332</v>
      </c>
      <c r="C20" s="16">
        <f t="shared" si="0"/>
        <v>577.65333333333331</v>
      </c>
      <c r="D20" s="16">
        <f t="shared" si="1"/>
        <v>144.41333333333333</v>
      </c>
      <c r="E20" s="27">
        <f t="shared" si="2"/>
        <v>1444.1333333333332</v>
      </c>
      <c r="F20" s="15">
        <v>93.02</v>
      </c>
      <c r="G20" s="15">
        <f>40.67+34.23</f>
        <v>74.900000000000006</v>
      </c>
      <c r="H20" s="15">
        <f>40.67+93.02</f>
        <v>133.69</v>
      </c>
      <c r="I20" s="15">
        <v>0</v>
      </c>
      <c r="J20" s="15">
        <v>93.02</v>
      </c>
      <c r="K20" s="15">
        <v>93.02</v>
      </c>
      <c r="L20" s="15">
        <v>93.02</v>
      </c>
      <c r="M20" s="15">
        <f>40.67+93.02</f>
        <v>133.69</v>
      </c>
      <c r="N20" s="15">
        <v>93.02</v>
      </c>
      <c r="O20" s="15">
        <f>93.02+5.75</f>
        <v>98.77</v>
      </c>
      <c r="P20" s="15">
        <f>11.41+93.02+5.75</f>
        <v>110.17999999999999</v>
      </c>
      <c r="Q20" s="15">
        <f>40.67+11.41+93.02</f>
        <v>145.1</v>
      </c>
      <c r="R20" s="15">
        <f>22.82+93.02</f>
        <v>115.84</v>
      </c>
      <c r="S20" s="17">
        <v>0</v>
      </c>
      <c r="T20" s="15">
        <f>40.67+34.23+93.02</f>
        <v>167.92000000000002</v>
      </c>
      <c r="U20" s="15">
        <v>22.32</v>
      </c>
      <c r="V20" s="15">
        <f>5.7+22.32</f>
        <v>28.02</v>
      </c>
      <c r="W20" s="15">
        <f>10.17+22.32</f>
        <v>32.49</v>
      </c>
      <c r="X20" s="15">
        <f>10.17+22.32</f>
        <v>32.49</v>
      </c>
      <c r="Y20" s="15">
        <v>0</v>
      </c>
      <c r="Z20" s="15">
        <f>5.71+22.32</f>
        <v>28.03</v>
      </c>
      <c r="AA20" s="19">
        <f t="shared" si="3"/>
        <v>2166.1999999999998</v>
      </c>
      <c r="AB20" s="18">
        <f t="shared" si="4"/>
        <v>1588.5399999999997</v>
      </c>
      <c r="AC20" s="18">
        <f t="shared" si="9"/>
        <v>577.66000000000008</v>
      </c>
      <c r="AD20" s="18"/>
    </row>
    <row r="21" spans="1:38" ht="18.75" customHeight="1">
      <c r="A21" s="14">
        <f t="shared" si="8"/>
        <v>43673</v>
      </c>
      <c r="B21" s="15">
        <f t="shared" si="7"/>
        <v>12610.8</v>
      </c>
      <c r="C21" s="16">
        <f t="shared" si="0"/>
        <v>504.43199999999996</v>
      </c>
      <c r="D21" s="16">
        <f t="shared" si="1"/>
        <v>126.10799999999999</v>
      </c>
      <c r="E21" s="27">
        <f t="shared" si="2"/>
        <v>1261.08</v>
      </c>
      <c r="F21" s="15">
        <v>93.01</v>
      </c>
      <c r="G21" s="15">
        <v>93.01</v>
      </c>
      <c r="H21" s="15">
        <v>0</v>
      </c>
      <c r="I21" s="15">
        <v>93.01</v>
      </c>
      <c r="J21" s="15">
        <f>19.54+93.01</f>
        <v>112.55000000000001</v>
      </c>
      <c r="K21" s="15">
        <v>0</v>
      </c>
      <c r="L21" s="15">
        <f>51.58+48.85</f>
        <v>100.43</v>
      </c>
      <c r="M21" s="15">
        <v>93.01</v>
      </c>
      <c r="N21" s="15">
        <v>93.01</v>
      </c>
      <c r="O21" s="15">
        <f>51.58+19.54+93.01</f>
        <v>164.13</v>
      </c>
      <c r="P21" s="15">
        <f>19.54+93.01+0.19</f>
        <v>112.74000000000001</v>
      </c>
      <c r="Q21" s="15">
        <f>19.54+93.01+0.19</f>
        <v>112.74000000000001</v>
      </c>
      <c r="R21" s="15">
        <f>48.85+93.01</f>
        <v>141.86000000000001</v>
      </c>
      <c r="S21" s="17"/>
      <c r="T21" s="15">
        <f>7.74+18.6</f>
        <v>26.340000000000003</v>
      </c>
      <c r="U21" s="15">
        <f>7.74</f>
        <v>7.74</v>
      </c>
      <c r="V21" s="15">
        <f>18.6+51.63</f>
        <v>70.23</v>
      </c>
      <c r="W21" s="15">
        <v>18.600000000000001</v>
      </c>
      <c r="X21" s="15">
        <v>18.600000000000001</v>
      </c>
      <c r="Y21" s="15">
        <v>0</v>
      </c>
      <c r="Z21" s="15">
        <f>17.58+18.6</f>
        <v>36.18</v>
      </c>
      <c r="AA21" s="19">
        <f t="shared" si="3"/>
        <v>1891.62</v>
      </c>
      <c r="AB21" s="18">
        <f t="shared" si="4"/>
        <v>1387.1899999999998</v>
      </c>
      <c r="AC21" s="18">
        <f t="shared" si="9"/>
        <v>504.43000000000006</v>
      </c>
      <c r="AD21" s="18"/>
    </row>
    <row r="22" spans="1:38" ht="18.75" customHeight="1">
      <c r="A22" s="14">
        <f t="shared" si="8"/>
        <v>43674</v>
      </c>
      <c r="B22" s="15">
        <f t="shared" si="7"/>
        <v>9176.3333333333321</v>
      </c>
      <c r="C22" s="16">
        <f t="shared" si="0"/>
        <v>367.05333333333328</v>
      </c>
      <c r="D22" s="16">
        <f t="shared" si="1"/>
        <v>91.763333333333321</v>
      </c>
      <c r="E22" s="27">
        <f t="shared" si="2"/>
        <v>917.63333333333321</v>
      </c>
      <c r="F22" s="15">
        <f>54.22+27.49</f>
        <v>81.709999999999994</v>
      </c>
      <c r="G22" s="15">
        <v>0</v>
      </c>
      <c r="H22" s="15">
        <f>54.22+27.49</f>
        <v>81.709999999999994</v>
      </c>
      <c r="I22" s="15">
        <f>54.22+75.13</f>
        <v>129.35</v>
      </c>
      <c r="J22" s="15">
        <v>37.56</v>
      </c>
      <c r="K22" s="15">
        <v>0</v>
      </c>
      <c r="L22" s="15">
        <f>54.22+75.13</f>
        <v>129.35</v>
      </c>
      <c r="M22" s="15">
        <v>75.13</v>
      </c>
      <c r="N22" s="15">
        <v>75.13</v>
      </c>
      <c r="O22" s="15">
        <v>75.13</v>
      </c>
      <c r="P22" s="15">
        <f>54.22+20.64</f>
        <v>74.86</v>
      </c>
      <c r="Q22" s="15">
        <f>75.13+0.95</f>
        <v>76.08</v>
      </c>
      <c r="R22" s="15">
        <f>54.22+27.49</f>
        <v>81.709999999999994</v>
      </c>
      <c r="S22" s="17">
        <v>0</v>
      </c>
      <c r="T22" s="15">
        <f>8.13+12.21</f>
        <v>20.340000000000003</v>
      </c>
      <c r="U22" s="15">
        <f>5.16+12.21</f>
        <v>17.37</v>
      </c>
      <c r="V22" s="15">
        <f>8.13+12.21</f>
        <v>20.340000000000003</v>
      </c>
      <c r="W22" s="15">
        <f>8.13+12.21</f>
        <v>20.340000000000003</v>
      </c>
      <c r="X22" s="15">
        <v>0</v>
      </c>
      <c r="Y22" s="15">
        <v>0</v>
      </c>
      <c r="Z22" s="15">
        <f>8.13+5.16</f>
        <v>13.290000000000001</v>
      </c>
      <c r="AA22" s="19">
        <f t="shared" si="3"/>
        <v>1376.4499999999998</v>
      </c>
      <c r="AB22" s="18">
        <f t="shared" si="4"/>
        <v>1009.4000000000001</v>
      </c>
      <c r="AC22" s="18">
        <f t="shared" si="9"/>
        <v>367.04999999999973</v>
      </c>
      <c r="AD22" s="18"/>
    </row>
    <row r="23" spans="1:38" ht="18.75" customHeight="1">
      <c r="A23" s="20"/>
      <c r="B23" s="21">
        <f>SUM(B9:B22)</f>
        <v>102586.06666666667</v>
      </c>
      <c r="C23" s="49">
        <f>SUM(C9:C22)</f>
        <v>4103.4426666666659</v>
      </c>
      <c r="D23" s="21">
        <f>SUM(D9:D22)</f>
        <v>1025.8606666666665</v>
      </c>
      <c r="E23" s="21">
        <f>SUM(E9:E22)</f>
        <v>10258.606666666668</v>
      </c>
      <c r="F23" s="30">
        <f>SUM(F9:F22)</f>
        <v>788.30000000000007</v>
      </c>
      <c r="G23" s="30">
        <f t="shared" ref="G23:Z23" si="11">SUM(G9:G22)</f>
        <v>704.08</v>
      </c>
      <c r="H23" s="30">
        <f t="shared" si="11"/>
        <v>752.52</v>
      </c>
      <c r="I23" s="30">
        <f t="shared" si="11"/>
        <v>705.21</v>
      </c>
      <c r="J23" s="30">
        <f t="shared" si="11"/>
        <v>809.36999999999989</v>
      </c>
      <c r="K23" s="30">
        <f t="shared" si="11"/>
        <v>93.02</v>
      </c>
      <c r="L23" s="30">
        <f t="shared" si="11"/>
        <v>843.13</v>
      </c>
      <c r="M23" s="30">
        <f t="shared" si="11"/>
        <v>1008.35</v>
      </c>
      <c r="N23" s="30">
        <f t="shared" si="11"/>
        <v>708.43000000000006</v>
      </c>
      <c r="O23" s="30">
        <f t="shared" si="11"/>
        <v>1062.78</v>
      </c>
      <c r="P23" s="30">
        <f t="shared" si="11"/>
        <v>971.25</v>
      </c>
      <c r="Q23" s="30">
        <f t="shared" si="11"/>
        <v>1033.27</v>
      </c>
      <c r="R23" s="30">
        <f t="shared" si="11"/>
        <v>339.41</v>
      </c>
      <c r="S23" s="39">
        <f t="shared" si="11"/>
        <v>0</v>
      </c>
      <c r="T23" s="30">
        <f t="shared" si="11"/>
        <v>383.75000000000011</v>
      </c>
      <c r="U23" s="30">
        <f t="shared" si="11"/>
        <v>119.89</v>
      </c>
      <c r="V23" s="30">
        <f t="shared" si="11"/>
        <v>369.94000000000005</v>
      </c>
      <c r="W23" s="30">
        <f t="shared" si="11"/>
        <v>104.43</v>
      </c>
      <c r="X23" s="30">
        <f t="shared" si="11"/>
        <v>196.17</v>
      </c>
      <c r="Y23" s="30">
        <f t="shared" si="11"/>
        <v>91.970000000000013</v>
      </c>
      <c r="Z23" s="30">
        <f t="shared" si="11"/>
        <v>199.2</v>
      </c>
      <c r="AA23" s="60">
        <f>SUM(AA9:AA22)</f>
        <v>15387.91</v>
      </c>
      <c r="AB23" s="60">
        <f>SUM(AB9:AB22)+F41</f>
        <v>15387.912666666665</v>
      </c>
      <c r="AC23" s="54">
        <f>SUM(AC9:AC22)</f>
        <v>4103.4400000000005</v>
      </c>
      <c r="AD23" s="43"/>
    </row>
    <row r="24" spans="1:38" ht="20.100000000000001" customHeight="1">
      <c r="A24" s="32"/>
      <c r="B24" s="33"/>
      <c r="C24" s="33"/>
      <c r="D24" s="33"/>
      <c r="E24" s="33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20"/>
      <c r="Q24" s="36"/>
      <c r="R24" s="36"/>
      <c r="S24" s="38"/>
      <c r="T24" s="37"/>
      <c r="U24" s="36"/>
      <c r="V24" s="36"/>
      <c r="W24" s="36"/>
      <c r="X24" s="36"/>
      <c r="Y24" s="36"/>
      <c r="Z24" s="36"/>
      <c r="AA24" s="36"/>
      <c r="AB24" s="42"/>
      <c r="AC24" s="44"/>
      <c r="AD24" s="44"/>
    </row>
    <row r="25" spans="1:38" ht="20.100000000000001" customHeight="1">
      <c r="A25" s="20" t="s">
        <v>31</v>
      </c>
      <c r="B25" s="31"/>
      <c r="C25" s="31"/>
      <c r="D25" s="31"/>
      <c r="E25" s="31"/>
      <c r="F25" s="41">
        <f t="shared" ref="F25:R25" si="12">F23*5%</f>
        <v>39.415000000000006</v>
      </c>
      <c r="G25" s="41">
        <f t="shared" si="12"/>
        <v>35.204000000000001</v>
      </c>
      <c r="H25" s="41">
        <f t="shared" si="12"/>
        <v>37.625999999999998</v>
      </c>
      <c r="I25" s="41">
        <f t="shared" si="12"/>
        <v>35.2605</v>
      </c>
      <c r="J25" s="41">
        <f t="shared" si="12"/>
        <v>40.468499999999999</v>
      </c>
      <c r="K25" s="41">
        <f t="shared" si="12"/>
        <v>4.6509999999999998</v>
      </c>
      <c r="L25" s="41">
        <f t="shared" si="12"/>
        <v>42.156500000000001</v>
      </c>
      <c r="M25" s="41">
        <f t="shared" si="12"/>
        <v>50.417500000000004</v>
      </c>
      <c r="N25" s="41">
        <f t="shared" si="12"/>
        <v>35.421500000000002</v>
      </c>
      <c r="O25" s="41">
        <f t="shared" si="12"/>
        <v>53.139000000000003</v>
      </c>
      <c r="P25" s="41">
        <f t="shared" si="12"/>
        <v>48.5625</v>
      </c>
      <c r="Q25" s="41">
        <f t="shared" si="12"/>
        <v>51.663499999999999</v>
      </c>
      <c r="R25" s="41">
        <f t="shared" si="12"/>
        <v>16.970500000000001</v>
      </c>
      <c r="S25" s="38"/>
      <c r="T25" s="41">
        <f>T23*5%</f>
        <v>19.187500000000007</v>
      </c>
      <c r="U25" s="41">
        <f>U23*5%</f>
        <v>5.9945000000000004</v>
      </c>
      <c r="V25" s="41">
        <f>V23*5%</f>
        <v>18.497000000000003</v>
      </c>
      <c r="W25" s="41">
        <f>W23*5%</f>
        <v>5.2215000000000007</v>
      </c>
      <c r="X25" s="41"/>
      <c r="Y25" s="41"/>
      <c r="Z25" s="41"/>
      <c r="AA25" s="36"/>
      <c r="AB25" s="40">
        <f>SUM(F25:Z25)</f>
        <v>539.85649999999998</v>
      </c>
      <c r="AC25" s="45"/>
      <c r="AD25" s="45"/>
    </row>
    <row r="26" spans="1:38" ht="20.100000000000001" customHeight="1">
      <c r="A26" s="20" t="s">
        <v>32</v>
      </c>
      <c r="B26" s="31"/>
      <c r="C26" s="31"/>
      <c r="D26" s="31"/>
      <c r="E26" s="31"/>
      <c r="F26" s="41">
        <f t="shared" ref="F26:R26" si="13">F23*5%</f>
        <v>39.415000000000006</v>
      </c>
      <c r="G26" s="41">
        <f t="shared" si="13"/>
        <v>35.204000000000001</v>
      </c>
      <c r="H26" s="41">
        <f t="shared" si="13"/>
        <v>37.625999999999998</v>
      </c>
      <c r="I26" s="41">
        <f t="shared" si="13"/>
        <v>35.2605</v>
      </c>
      <c r="J26" s="41">
        <f t="shared" si="13"/>
        <v>40.468499999999999</v>
      </c>
      <c r="K26" s="41">
        <f t="shared" si="13"/>
        <v>4.6509999999999998</v>
      </c>
      <c r="L26" s="41">
        <f t="shared" si="13"/>
        <v>42.156500000000001</v>
      </c>
      <c r="M26" s="41">
        <f t="shared" si="13"/>
        <v>50.417500000000004</v>
      </c>
      <c r="N26" s="41">
        <f t="shared" si="13"/>
        <v>35.421500000000002</v>
      </c>
      <c r="O26" s="41">
        <f t="shared" si="13"/>
        <v>53.139000000000003</v>
      </c>
      <c r="P26" s="41">
        <f t="shared" si="13"/>
        <v>48.5625</v>
      </c>
      <c r="Q26" s="41">
        <f t="shared" si="13"/>
        <v>51.663499999999999</v>
      </c>
      <c r="R26" s="41">
        <f t="shared" si="13"/>
        <v>16.970500000000001</v>
      </c>
      <c r="S26" s="38"/>
      <c r="T26" s="41">
        <f>T23*5%</f>
        <v>19.187500000000007</v>
      </c>
      <c r="U26" s="41">
        <f>U23*5%</f>
        <v>5.9945000000000004</v>
      </c>
      <c r="V26" s="41">
        <f>V23*5%</f>
        <v>18.497000000000003</v>
      </c>
      <c r="W26" s="41">
        <f>W23*5%</f>
        <v>5.2215000000000007</v>
      </c>
      <c r="X26" s="41"/>
      <c r="Y26" s="41"/>
      <c r="Z26" s="41"/>
      <c r="AA26" s="36"/>
      <c r="AB26" s="40">
        <f>SUM(F26:Z26)</f>
        <v>539.85649999999998</v>
      </c>
      <c r="AC26" s="45"/>
      <c r="AD26" s="45"/>
      <c r="AJ26" s="46"/>
    </row>
    <row r="27" spans="1:38" ht="20.100000000000001" customHeight="1">
      <c r="A27" s="34" t="s">
        <v>33</v>
      </c>
      <c r="B27" s="35"/>
      <c r="C27" s="35"/>
      <c r="D27" s="35"/>
      <c r="E27" s="35"/>
      <c r="F27" s="57">
        <f t="shared" ref="F27:R27" si="14">F23-F25</f>
        <v>748.8850000000001</v>
      </c>
      <c r="G27" s="57">
        <f t="shared" si="14"/>
        <v>668.87600000000009</v>
      </c>
      <c r="H27" s="57">
        <f t="shared" si="14"/>
        <v>714.89400000000001</v>
      </c>
      <c r="I27" s="57">
        <f t="shared" si="14"/>
        <v>669.94950000000006</v>
      </c>
      <c r="J27" s="57">
        <f t="shared" si="14"/>
        <v>768.90149999999994</v>
      </c>
      <c r="K27" s="57">
        <f t="shared" si="14"/>
        <v>88.369</v>
      </c>
      <c r="L27" s="57">
        <f t="shared" si="14"/>
        <v>800.97349999999994</v>
      </c>
      <c r="M27" s="57">
        <f t="shared" si="14"/>
        <v>957.9325</v>
      </c>
      <c r="N27" s="57">
        <f t="shared" si="14"/>
        <v>673.00850000000003</v>
      </c>
      <c r="O27" s="57">
        <f t="shared" si="14"/>
        <v>1009.641</v>
      </c>
      <c r="P27" s="57">
        <f t="shared" si="14"/>
        <v>922.6875</v>
      </c>
      <c r="Q27" s="57">
        <f t="shared" si="14"/>
        <v>981.60649999999998</v>
      </c>
      <c r="R27" s="57">
        <f t="shared" si="14"/>
        <v>322.43950000000001</v>
      </c>
      <c r="S27" s="59"/>
      <c r="T27" s="57">
        <f>T23-T25</f>
        <v>364.56250000000011</v>
      </c>
      <c r="U27" s="57">
        <f>U23-U25</f>
        <v>113.8955</v>
      </c>
      <c r="V27" s="57">
        <f>V23-V25</f>
        <v>351.44300000000004</v>
      </c>
      <c r="W27" s="57">
        <f>W23-W25</f>
        <v>99.208500000000001</v>
      </c>
      <c r="X27" s="57">
        <f t="shared" ref="X27:Y27" si="15">X23-X25</f>
        <v>196.17</v>
      </c>
      <c r="Y27" s="57">
        <f t="shared" si="15"/>
        <v>91.970000000000013</v>
      </c>
      <c r="Z27" s="57">
        <f>Z23-Z25</f>
        <v>199.2</v>
      </c>
      <c r="AA27" s="36"/>
      <c r="AB27" s="40">
        <f>SUM(AB25:AB26)</f>
        <v>1079.713</v>
      </c>
      <c r="AC27" s="45"/>
      <c r="AD27" s="45"/>
    </row>
    <row r="28" spans="1:38">
      <c r="A28" s="48" t="s">
        <v>37</v>
      </c>
      <c r="B28" s="22" t="s">
        <v>42</v>
      </c>
      <c r="C28" s="22" t="s">
        <v>39</v>
      </c>
      <c r="D28" s="22" t="s">
        <v>35</v>
      </c>
      <c r="E28" s="22" t="s">
        <v>58</v>
      </c>
      <c r="F28" s="22" t="s">
        <v>51</v>
      </c>
      <c r="G28" s="22" t="s">
        <v>52</v>
      </c>
      <c r="H28" s="22" t="s">
        <v>52</v>
      </c>
      <c r="I28" s="23" t="s">
        <v>54</v>
      </c>
      <c r="J28" s="23"/>
      <c r="K28" s="23"/>
      <c r="L28" s="23"/>
      <c r="M28" s="23"/>
      <c r="N28" s="23"/>
      <c r="O28" s="23"/>
      <c r="P28" s="23"/>
      <c r="Q28" s="23"/>
      <c r="R28" s="23"/>
      <c r="S28" s="22"/>
      <c r="T28" s="22"/>
      <c r="U28" s="22"/>
      <c r="V28" s="22"/>
      <c r="W28" s="22"/>
      <c r="X28" s="22"/>
      <c r="Y28" s="22"/>
      <c r="Z28" s="22"/>
    </row>
    <row r="29" spans="1:38" ht="15.95" customHeight="1">
      <c r="A29" s="48" t="s">
        <v>56</v>
      </c>
      <c r="B29" s="22" t="s">
        <v>43</v>
      </c>
      <c r="C29" s="22" t="s">
        <v>40</v>
      </c>
      <c r="D29" s="22" t="s">
        <v>41</v>
      </c>
      <c r="E29" s="22" t="s">
        <v>34</v>
      </c>
      <c r="F29" s="22" t="s">
        <v>3</v>
      </c>
      <c r="G29" s="22" t="s">
        <v>36</v>
      </c>
      <c r="H29" s="22" t="s">
        <v>53</v>
      </c>
      <c r="I29" s="23" t="s">
        <v>55</v>
      </c>
      <c r="J29" s="23"/>
      <c r="K29" s="23"/>
      <c r="L29" s="23"/>
      <c r="M29" s="23"/>
      <c r="N29" s="23"/>
      <c r="O29" s="23"/>
      <c r="P29" s="23"/>
      <c r="Q29" s="23"/>
      <c r="R29" s="23"/>
      <c r="S29" s="22"/>
      <c r="T29" s="22"/>
      <c r="U29" s="22"/>
      <c r="V29" s="22"/>
      <c r="W29" s="22"/>
      <c r="X29" s="22"/>
      <c r="Y29" s="22"/>
      <c r="Z29" s="22"/>
    </row>
    <row r="30" spans="1:38" ht="15.95" customHeight="1">
      <c r="A30" s="14"/>
      <c r="B30" s="22" t="s">
        <v>44</v>
      </c>
      <c r="C30" s="22"/>
      <c r="D30" s="22"/>
      <c r="E30" s="22"/>
      <c r="F30" s="22"/>
      <c r="G30" s="22"/>
      <c r="H30" s="22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2"/>
      <c r="T30" s="22"/>
      <c r="U30" s="22"/>
      <c r="V30" s="22"/>
      <c r="W30" s="22"/>
      <c r="X30" s="22"/>
      <c r="Y30" s="22"/>
      <c r="Z30" s="22"/>
    </row>
    <row r="31" spans="1:38" ht="15.95" customHeight="1">
      <c r="A31" s="47" t="s">
        <v>38</v>
      </c>
      <c r="B31" s="51">
        <v>500</v>
      </c>
      <c r="C31" s="52">
        <v>2</v>
      </c>
      <c r="D31" s="52">
        <v>23</v>
      </c>
      <c r="E31" s="52">
        <f t="shared" ref="E31:E37" si="16">C31*D31</f>
        <v>46</v>
      </c>
      <c r="F31" s="51">
        <f>E31*E42</f>
        <v>560.94610004952938</v>
      </c>
      <c r="G31" s="51">
        <f t="shared" ref="G31:G36" si="17">F31*5%</f>
        <v>28.04730500247647</v>
      </c>
      <c r="H31" s="51">
        <f t="shared" ref="H31:H36" si="18">F31*5%</f>
        <v>28.04730500247647</v>
      </c>
      <c r="I31" s="58">
        <f t="shared" ref="I31:I37" si="19">F31-G31</f>
        <v>532.89879504705289</v>
      </c>
      <c r="J31" s="58"/>
      <c r="K31" s="23"/>
      <c r="L31" s="23"/>
      <c r="M31" s="64"/>
      <c r="N31" s="64"/>
      <c r="O31" s="58"/>
      <c r="P31" s="64"/>
      <c r="Q31" s="24"/>
      <c r="R31" s="24"/>
    </row>
    <row r="32" spans="1:38" ht="15.95" customHeight="1">
      <c r="A32" s="47" t="s">
        <v>45</v>
      </c>
      <c r="B32" s="51">
        <v>500</v>
      </c>
      <c r="C32" s="52">
        <v>2</v>
      </c>
      <c r="D32" s="52">
        <v>0</v>
      </c>
      <c r="E32" s="52">
        <f t="shared" si="16"/>
        <v>0</v>
      </c>
      <c r="F32" s="51">
        <f>E32*E42</f>
        <v>0</v>
      </c>
      <c r="G32" s="51">
        <f t="shared" si="17"/>
        <v>0</v>
      </c>
      <c r="H32" s="51">
        <f t="shared" si="18"/>
        <v>0</v>
      </c>
      <c r="I32" s="58">
        <f t="shared" si="19"/>
        <v>0</v>
      </c>
      <c r="J32" s="58"/>
      <c r="K32" s="23"/>
      <c r="L32" s="23"/>
      <c r="M32" s="23"/>
      <c r="N32" s="64"/>
      <c r="O32" s="23"/>
      <c r="P32" s="64"/>
    </row>
    <row r="33" spans="1:44" ht="15.95" customHeight="1">
      <c r="A33" s="47" t="s">
        <v>46</v>
      </c>
      <c r="B33" s="51">
        <v>500</v>
      </c>
      <c r="C33" s="53">
        <v>2</v>
      </c>
      <c r="D33" s="52">
        <v>23</v>
      </c>
      <c r="E33" s="52">
        <f t="shared" si="16"/>
        <v>46</v>
      </c>
      <c r="F33" s="51">
        <f>E33*E42</f>
        <v>560.94610004952938</v>
      </c>
      <c r="G33" s="51">
        <f t="shared" si="17"/>
        <v>28.04730500247647</v>
      </c>
      <c r="H33" s="51">
        <f t="shared" si="18"/>
        <v>28.04730500247647</v>
      </c>
      <c r="I33" s="58">
        <f t="shared" si="19"/>
        <v>532.89879504705289</v>
      </c>
      <c r="J33" s="58"/>
      <c r="K33" s="23"/>
      <c r="L33" s="23"/>
      <c r="M33" s="23"/>
      <c r="N33" s="23"/>
      <c r="O33" s="23"/>
    </row>
    <row r="34" spans="1:44" ht="15.95" customHeight="1">
      <c r="A34" s="47" t="s">
        <v>47</v>
      </c>
      <c r="B34" s="51">
        <v>425</v>
      </c>
      <c r="C34" s="53">
        <v>1.75</v>
      </c>
      <c r="D34" s="52">
        <v>23</v>
      </c>
      <c r="E34" s="52">
        <f t="shared" si="16"/>
        <v>40.25</v>
      </c>
      <c r="F34" s="51">
        <f>E34*E42</f>
        <v>490.82783754333821</v>
      </c>
      <c r="G34" s="51">
        <f t="shared" si="17"/>
        <v>24.541391877166912</v>
      </c>
      <c r="H34" s="51">
        <f t="shared" si="18"/>
        <v>24.541391877166912</v>
      </c>
      <c r="I34" s="58">
        <f t="shared" si="19"/>
        <v>466.28644566617129</v>
      </c>
      <c r="J34" s="58"/>
      <c r="K34" s="23"/>
      <c r="L34" s="23"/>
      <c r="M34" s="23"/>
      <c r="N34" s="23"/>
      <c r="O34" s="23"/>
    </row>
    <row r="35" spans="1:44" ht="15.95" customHeight="1">
      <c r="A35" s="47" t="s">
        <v>48</v>
      </c>
      <c r="B35" s="51">
        <v>500</v>
      </c>
      <c r="C35" s="53">
        <v>2</v>
      </c>
      <c r="D35" s="52">
        <v>23</v>
      </c>
      <c r="E35" s="52">
        <f t="shared" si="16"/>
        <v>46</v>
      </c>
      <c r="F35" s="51">
        <f>E35*E42</f>
        <v>560.94610004952938</v>
      </c>
      <c r="G35" s="51">
        <f t="shared" si="17"/>
        <v>28.04730500247647</v>
      </c>
      <c r="H35" s="51">
        <f t="shared" si="18"/>
        <v>28.04730500247647</v>
      </c>
      <c r="I35" s="58">
        <f t="shared" si="19"/>
        <v>532.89879504705289</v>
      </c>
      <c r="J35" s="58"/>
      <c r="K35" s="23"/>
      <c r="L35" s="23"/>
      <c r="M35" s="23"/>
      <c r="N35" s="23"/>
      <c r="O35" s="23"/>
    </row>
    <row r="36" spans="1:44" ht="15.95" customHeight="1">
      <c r="A36" s="47" t="s">
        <v>49</v>
      </c>
      <c r="B36" s="51">
        <v>425</v>
      </c>
      <c r="C36" s="53">
        <v>1.75</v>
      </c>
      <c r="D36" s="52">
        <v>23</v>
      </c>
      <c r="E36" s="52">
        <f t="shared" si="16"/>
        <v>40.25</v>
      </c>
      <c r="F36" s="51">
        <f>E36*E42</f>
        <v>490.82783754333821</v>
      </c>
      <c r="G36" s="51">
        <f t="shared" si="17"/>
        <v>24.541391877166912</v>
      </c>
      <c r="H36" s="51">
        <f t="shared" si="18"/>
        <v>24.541391877166912</v>
      </c>
      <c r="I36" s="58">
        <f t="shared" si="19"/>
        <v>466.28644566617129</v>
      </c>
      <c r="J36" s="58"/>
      <c r="K36" s="23"/>
      <c r="L36" s="23"/>
      <c r="M36" s="23"/>
      <c r="N36" s="23"/>
      <c r="O36" s="23"/>
    </row>
    <row r="37" spans="1:44" ht="15.95" customHeight="1">
      <c r="A37" s="47" t="s">
        <v>68</v>
      </c>
      <c r="B37" s="51">
        <v>500</v>
      </c>
      <c r="C37" s="53">
        <v>2</v>
      </c>
      <c r="D37" s="52">
        <v>24</v>
      </c>
      <c r="E37" s="52">
        <f t="shared" si="16"/>
        <v>48</v>
      </c>
      <c r="F37" s="51">
        <f>E37*E42</f>
        <v>585.3350609212481</v>
      </c>
      <c r="G37" s="51">
        <v>0</v>
      </c>
      <c r="H37" s="51">
        <v>0</v>
      </c>
      <c r="I37" s="58">
        <f t="shared" si="19"/>
        <v>585.3350609212481</v>
      </c>
      <c r="J37" s="58"/>
      <c r="K37" s="23"/>
      <c r="L37" s="23"/>
      <c r="M37" s="23"/>
      <c r="N37" s="23"/>
      <c r="O37" s="23"/>
    </row>
    <row r="38" spans="1:44" ht="15.95" customHeight="1">
      <c r="A38" s="47" t="s">
        <v>75</v>
      </c>
      <c r="B38" s="51">
        <v>500</v>
      </c>
      <c r="C38" s="52">
        <v>2</v>
      </c>
      <c r="D38" s="52">
        <v>12</v>
      </c>
      <c r="E38" s="52">
        <f>C38*D38</f>
        <v>24</v>
      </c>
      <c r="F38" s="51">
        <f>E38*E42</f>
        <v>292.66753046062405</v>
      </c>
      <c r="G38" s="51">
        <v>0</v>
      </c>
      <c r="H38" s="51">
        <v>0</v>
      </c>
      <c r="I38" s="58">
        <f>F38-G38</f>
        <v>292.66753046062405</v>
      </c>
      <c r="J38" s="58"/>
      <c r="K38" s="23"/>
      <c r="L38" s="23"/>
      <c r="M38" s="23"/>
      <c r="N38" s="23"/>
      <c r="O38" s="23"/>
    </row>
    <row r="39" spans="1:44" ht="15.95" customHeight="1">
      <c r="A39" s="47" t="s">
        <v>89</v>
      </c>
      <c r="B39" s="51">
        <v>500</v>
      </c>
      <c r="C39" s="53">
        <v>2</v>
      </c>
      <c r="D39" s="52">
        <v>23</v>
      </c>
      <c r="E39" s="52">
        <f t="shared" ref="E39" si="20">C39*D39</f>
        <v>46</v>
      </c>
      <c r="F39" s="51">
        <f>E39*E42</f>
        <v>560.94610004952938</v>
      </c>
      <c r="G39" s="51">
        <v>0</v>
      </c>
      <c r="H39" s="51">
        <v>0</v>
      </c>
      <c r="I39" s="58">
        <f t="shared" ref="I39" si="21">F39-G39</f>
        <v>560.94610004952938</v>
      </c>
      <c r="J39" s="58"/>
      <c r="K39" s="23"/>
      <c r="L39" s="23"/>
      <c r="M39" s="23"/>
      <c r="N39" s="23"/>
      <c r="O39" s="23"/>
    </row>
    <row r="40" spans="1:44" ht="15.95" customHeight="1">
      <c r="A40" s="14"/>
      <c r="K40" s="23"/>
      <c r="L40" s="23"/>
      <c r="M40" s="23"/>
      <c r="N40" s="23"/>
      <c r="O40" s="23"/>
    </row>
    <row r="41" spans="1:44" ht="15.95" customHeight="1">
      <c r="A41" s="14"/>
      <c r="C41" s="1" t="s">
        <v>57</v>
      </c>
      <c r="E41" s="23">
        <f>SUM(E31:E40)</f>
        <v>336.5</v>
      </c>
      <c r="F41" s="50">
        <f>SUM(F31:F40)</f>
        <v>4103.4426666666659</v>
      </c>
      <c r="H41" s="25">
        <f>SUM(H31:H40)</f>
        <v>133.22469876176325</v>
      </c>
      <c r="I41" s="63">
        <f>SUM(I31:I40)</f>
        <v>3970.2179679049027</v>
      </c>
      <c r="K41" s="23"/>
      <c r="L41" s="23"/>
      <c r="M41" s="23"/>
      <c r="N41" s="23"/>
      <c r="O41" s="23"/>
    </row>
    <row r="42" spans="1:44">
      <c r="A42" s="14"/>
      <c r="C42" s="1" t="s">
        <v>50</v>
      </c>
      <c r="E42" s="25">
        <f>C23/E41</f>
        <v>12.194480435859335</v>
      </c>
      <c r="K42" s="23"/>
      <c r="L42" s="23"/>
      <c r="M42" s="23"/>
      <c r="N42" s="23"/>
      <c r="O42" s="23"/>
    </row>
    <row r="43" spans="1:44">
      <c r="A43" s="14"/>
      <c r="K43" s="23"/>
      <c r="L43" s="23"/>
      <c r="M43" s="23"/>
      <c r="N43" s="23"/>
      <c r="O43" s="23"/>
    </row>
    <row r="44" spans="1: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3"/>
      <c r="L44" s="23"/>
      <c r="M44" s="23"/>
      <c r="N44" s="23"/>
      <c r="O44" s="23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44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3"/>
      <c r="L45" s="23"/>
      <c r="M45" s="23"/>
      <c r="N45" s="23"/>
      <c r="O45" s="23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>
      <c r="A48" s="22"/>
      <c r="B48" s="22"/>
      <c r="C48" s="22"/>
      <c r="D48" s="22" t="s">
        <v>3</v>
      </c>
      <c r="E48" s="56">
        <v>0.1</v>
      </c>
      <c r="F48" s="56">
        <v>0.11</v>
      </c>
      <c r="G48" s="56">
        <v>0.01</v>
      </c>
      <c r="H48" s="56">
        <v>0.15</v>
      </c>
      <c r="I48" s="22"/>
      <c r="J48" s="22"/>
      <c r="K48" s="61" t="s">
        <v>80</v>
      </c>
      <c r="L48" s="61" t="s">
        <v>81</v>
      </c>
      <c r="M48" s="61" t="s">
        <v>82</v>
      </c>
      <c r="N48" s="61" t="s">
        <v>83</v>
      </c>
      <c r="O48" s="61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>
      <c r="A49" s="22"/>
      <c r="B49" s="22"/>
      <c r="C49" s="22"/>
      <c r="D49" s="22">
        <v>1.35</v>
      </c>
      <c r="E49" s="45">
        <f>D49/15*10</f>
        <v>0.90000000000000013</v>
      </c>
      <c r="F49" s="45">
        <f>D49/15*11</f>
        <v>0.9900000000000001</v>
      </c>
      <c r="G49" s="45">
        <f>D49/15*1</f>
        <v>9.0000000000000011E-2</v>
      </c>
      <c r="H49" s="45">
        <f>D49/15*15</f>
        <v>1.35</v>
      </c>
      <c r="I49" s="22"/>
      <c r="J49" s="14">
        <v>43661</v>
      </c>
      <c r="K49" s="55">
        <v>0</v>
      </c>
      <c r="L49" s="55">
        <v>0</v>
      </c>
      <c r="M49" s="55">
        <v>0</v>
      </c>
      <c r="N49" s="55">
        <v>0</v>
      </c>
      <c r="O49" s="61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>
      <c r="A50" s="22"/>
      <c r="B50" s="22"/>
      <c r="C50" s="22"/>
      <c r="D50" s="22"/>
      <c r="E50" s="22"/>
      <c r="F50" s="22"/>
      <c r="G50" s="22"/>
      <c r="H50" s="22"/>
      <c r="I50" s="22"/>
      <c r="J50" s="14">
        <f>+J49+1</f>
        <v>43662</v>
      </c>
      <c r="K50" s="55">
        <v>259.16000000000003</v>
      </c>
      <c r="L50" s="55">
        <v>318.5</v>
      </c>
      <c r="M50" s="55">
        <v>625.09</v>
      </c>
      <c r="N50" s="55">
        <v>0</v>
      </c>
      <c r="O50" s="61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>
      <c r="A51" s="22"/>
      <c r="B51" s="22"/>
      <c r="C51" s="22"/>
      <c r="D51" s="22"/>
      <c r="E51" s="22"/>
      <c r="F51" s="22"/>
      <c r="G51" s="22"/>
      <c r="H51" s="22"/>
      <c r="I51" s="22"/>
      <c r="J51" s="14">
        <f t="shared" ref="J51:J62" si="22">+J50+1</f>
        <v>43663</v>
      </c>
      <c r="K51" s="55">
        <v>95.15</v>
      </c>
      <c r="L51" s="55">
        <v>81.430000000000007</v>
      </c>
      <c r="M51" s="55">
        <v>640.35</v>
      </c>
      <c r="N51" s="55">
        <v>0</v>
      </c>
      <c r="O51" s="61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>
      <c r="A52" s="22"/>
      <c r="B52" s="22"/>
      <c r="C52" s="22"/>
      <c r="D52" s="22">
        <v>1</v>
      </c>
      <c r="E52" s="45">
        <f>E49/3*3</f>
        <v>0.90000000000000013</v>
      </c>
      <c r="F52" s="45">
        <f>F49/3*3</f>
        <v>0.99</v>
      </c>
      <c r="G52" s="45">
        <f>G49/3*3</f>
        <v>9.0000000000000011E-2</v>
      </c>
      <c r="H52" s="45">
        <f>H49/3*3</f>
        <v>1.35</v>
      </c>
      <c r="I52" s="22"/>
      <c r="J52" s="14">
        <f t="shared" si="22"/>
        <v>43664</v>
      </c>
      <c r="K52" s="55">
        <v>102.37</v>
      </c>
      <c r="L52" s="55">
        <v>62.95</v>
      </c>
      <c r="M52" s="55">
        <v>801.28</v>
      </c>
      <c r="N52" s="55">
        <v>1.35</v>
      </c>
      <c r="O52" s="61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>
      <c r="A53" s="22"/>
      <c r="B53" s="22"/>
      <c r="C53" s="22"/>
      <c r="D53" s="22">
        <v>2</v>
      </c>
      <c r="E53" s="45">
        <f>E49/2</f>
        <v>0.45000000000000007</v>
      </c>
      <c r="F53" s="45">
        <f>F49/2</f>
        <v>0.49500000000000005</v>
      </c>
      <c r="G53" s="45">
        <f>G49/2</f>
        <v>4.5000000000000005E-2</v>
      </c>
      <c r="H53" s="45">
        <f>H49/2</f>
        <v>0.67500000000000004</v>
      </c>
      <c r="I53" s="22"/>
      <c r="J53" s="14">
        <f t="shared" si="22"/>
        <v>43665</v>
      </c>
      <c r="K53" s="55">
        <v>88.33</v>
      </c>
      <c r="L53" s="55">
        <v>247.32</v>
      </c>
      <c r="M53" s="55">
        <v>976.76</v>
      </c>
      <c r="N53" s="55">
        <v>0</v>
      </c>
      <c r="O53" s="61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>
      <c r="A54" s="22"/>
      <c r="B54" s="22"/>
      <c r="C54" s="22"/>
      <c r="D54" s="22">
        <v>3</v>
      </c>
      <c r="E54" s="45">
        <f>E49/3</f>
        <v>0.30000000000000004</v>
      </c>
      <c r="F54" s="45">
        <f>F49/3</f>
        <v>0.33</v>
      </c>
      <c r="G54" s="45">
        <f>G49/3</f>
        <v>3.0000000000000002E-2</v>
      </c>
      <c r="H54" s="45">
        <f>H49/3</f>
        <v>0.45</v>
      </c>
      <c r="I54" s="22"/>
      <c r="J54" s="14">
        <f>+J53+1</f>
        <v>43666</v>
      </c>
      <c r="K54" s="55">
        <v>220.33</v>
      </c>
      <c r="L54" s="55">
        <v>196.11</v>
      </c>
      <c r="M54" s="55">
        <v>859.79</v>
      </c>
      <c r="N54" s="55">
        <v>0</v>
      </c>
      <c r="O54" s="61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>
      <c r="A55" s="22"/>
      <c r="B55" s="22"/>
      <c r="C55" s="22"/>
      <c r="D55" s="22">
        <v>4</v>
      </c>
      <c r="E55" s="45">
        <f>E49/4</f>
        <v>0.22500000000000003</v>
      </c>
      <c r="F55" s="45">
        <f>F49/4</f>
        <v>0.24750000000000003</v>
      </c>
      <c r="G55" s="45">
        <f>G49/4</f>
        <v>2.2500000000000003E-2</v>
      </c>
      <c r="H55" s="45">
        <f>H49/4</f>
        <v>0.33750000000000002</v>
      </c>
      <c r="I55" s="22"/>
      <c r="J55" s="14">
        <f t="shared" si="22"/>
        <v>43667</v>
      </c>
      <c r="K55" s="55">
        <v>314.45</v>
      </c>
      <c r="L55" s="55">
        <v>153.82</v>
      </c>
      <c r="M55" s="55">
        <v>790.65</v>
      </c>
      <c r="N55" s="55">
        <v>6.3</v>
      </c>
      <c r="O55" s="61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>
      <c r="A56" s="22"/>
      <c r="B56" s="22"/>
      <c r="C56" s="22"/>
      <c r="D56" s="22">
        <v>5</v>
      </c>
      <c r="E56" s="45">
        <f>E49/5</f>
        <v>0.18000000000000002</v>
      </c>
      <c r="F56" s="45">
        <f>F49/5</f>
        <v>0.19800000000000001</v>
      </c>
      <c r="G56" s="45">
        <f>G49/5</f>
        <v>1.8000000000000002E-2</v>
      </c>
      <c r="H56" s="45">
        <f>H49/5</f>
        <v>0.27</v>
      </c>
      <c r="I56" s="22"/>
      <c r="J56" s="14">
        <f t="shared" si="22"/>
        <v>43668</v>
      </c>
      <c r="K56" s="55">
        <v>0</v>
      </c>
      <c r="L56" s="55">
        <v>0</v>
      </c>
      <c r="M56" s="55">
        <v>0</v>
      </c>
      <c r="N56" s="55">
        <v>0</v>
      </c>
      <c r="O56" s="61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>
      <c r="A57" s="22"/>
      <c r="B57" s="22"/>
      <c r="C57" s="22"/>
      <c r="D57" s="22">
        <v>6</v>
      </c>
      <c r="E57" s="45">
        <f>E49/6</f>
        <v>0.15000000000000002</v>
      </c>
      <c r="F57" s="45">
        <f>F49/6</f>
        <v>0.16500000000000001</v>
      </c>
      <c r="G57" s="22"/>
      <c r="H57" s="45">
        <f>H49/6</f>
        <v>0.22500000000000001</v>
      </c>
      <c r="I57" s="22"/>
      <c r="J57" s="14">
        <f t="shared" si="22"/>
        <v>43669</v>
      </c>
      <c r="K57" s="55">
        <v>117.29</v>
      </c>
      <c r="L57" s="55">
        <v>88.32</v>
      </c>
      <c r="M57" s="55">
        <v>923.92</v>
      </c>
      <c r="N57" s="55">
        <v>0</v>
      </c>
      <c r="O57" s="61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>
      <c r="A58" s="22"/>
      <c r="B58" s="22"/>
      <c r="C58" s="22"/>
      <c r="D58" s="22">
        <v>7</v>
      </c>
      <c r="E58" s="45">
        <f>E49/7</f>
        <v>0.12857142857142859</v>
      </c>
      <c r="F58" s="45">
        <f>F49/7</f>
        <v>0.14142857142857143</v>
      </c>
      <c r="G58" s="22"/>
      <c r="H58" s="45">
        <f>H49/7</f>
        <v>0.19285714285714287</v>
      </c>
      <c r="I58" s="22"/>
      <c r="J58" s="14">
        <f t="shared" si="22"/>
        <v>43670</v>
      </c>
      <c r="K58" s="55">
        <v>57.29</v>
      </c>
      <c r="L58" s="55">
        <v>22.05</v>
      </c>
      <c r="M58" s="55">
        <v>466.17</v>
      </c>
      <c r="N58" s="55">
        <v>0</v>
      </c>
      <c r="O58" s="61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>
      <c r="A59" s="22"/>
      <c r="B59" s="22"/>
      <c r="C59" s="22"/>
      <c r="D59" s="22">
        <v>8</v>
      </c>
      <c r="E59" s="45">
        <f>E49/8</f>
        <v>0.11250000000000002</v>
      </c>
      <c r="F59" s="45">
        <f>F49/8</f>
        <v>0.12375000000000001</v>
      </c>
      <c r="G59" s="22"/>
      <c r="H59" s="45">
        <f>H49/8</f>
        <v>0.16875000000000001</v>
      </c>
      <c r="I59" s="22"/>
      <c r="J59" s="14">
        <f t="shared" si="22"/>
        <v>43671</v>
      </c>
      <c r="K59" s="55">
        <v>136.11000000000001</v>
      </c>
      <c r="L59" s="55">
        <v>54.65</v>
      </c>
      <c r="M59" s="55">
        <v>1241.4000000000001</v>
      </c>
      <c r="N59" s="55">
        <v>4.95</v>
      </c>
      <c r="O59" s="61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>
      <c r="A60" s="22"/>
      <c r="B60" s="22"/>
      <c r="C60" s="22"/>
      <c r="D60" s="22">
        <v>9</v>
      </c>
      <c r="E60" s="45">
        <f>E49/9</f>
        <v>0.10000000000000002</v>
      </c>
      <c r="F60" s="45">
        <f>F49/9</f>
        <v>0.11000000000000001</v>
      </c>
      <c r="G60" s="22"/>
      <c r="H60" s="45">
        <f>H49/9</f>
        <v>0.15000000000000002</v>
      </c>
      <c r="I60" s="22"/>
      <c r="J60" s="14">
        <f t="shared" si="22"/>
        <v>43672</v>
      </c>
      <c r="K60" s="55">
        <v>305.04000000000002</v>
      </c>
      <c r="L60" s="55">
        <v>171.15</v>
      </c>
      <c r="M60" s="55">
        <v>1674.34</v>
      </c>
      <c r="N60" s="55">
        <v>15.67</v>
      </c>
      <c r="O60" s="61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>
      <c r="A61" s="22"/>
      <c r="B61" s="22"/>
      <c r="C61" s="22"/>
      <c r="D61" s="22">
        <v>10</v>
      </c>
      <c r="E61" s="45">
        <f>E49/10</f>
        <v>9.0000000000000011E-2</v>
      </c>
      <c r="F61" s="45">
        <f>F49/10</f>
        <v>9.9000000000000005E-2</v>
      </c>
      <c r="G61" s="22"/>
      <c r="H61" s="45">
        <f>H49/10</f>
        <v>0.13500000000000001</v>
      </c>
      <c r="I61" s="22"/>
      <c r="J61" s="14">
        <f t="shared" si="22"/>
        <v>43673</v>
      </c>
      <c r="K61" s="55">
        <v>232.12</v>
      </c>
      <c r="L61" s="55">
        <v>263.77</v>
      </c>
      <c r="M61" s="55">
        <v>1395.21</v>
      </c>
      <c r="N61" s="55">
        <v>0.52</v>
      </c>
      <c r="O61" s="61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>
      <c r="A62" s="22"/>
      <c r="B62" s="22"/>
      <c r="C62" s="22"/>
      <c r="D62" s="22">
        <v>11</v>
      </c>
      <c r="E62" s="45">
        <f>E49/11</f>
        <v>8.1818181818181832E-2</v>
      </c>
      <c r="F62" s="45">
        <f>F49/11</f>
        <v>9.0000000000000011E-2</v>
      </c>
      <c r="G62" s="22"/>
      <c r="H62" s="45">
        <f>H49/11</f>
        <v>0.12272727272727274</v>
      </c>
      <c r="I62" s="22"/>
      <c r="J62" s="14">
        <f t="shared" si="22"/>
        <v>43674</v>
      </c>
      <c r="K62" s="55">
        <v>487.99</v>
      </c>
      <c r="L62" s="55">
        <v>154.66999999999999</v>
      </c>
      <c r="M62" s="55">
        <v>732.44</v>
      </c>
      <c r="N62" s="55">
        <v>1.35</v>
      </c>
      <c r="O62" s="61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>
      <c r="A63" s="22"/>
      <c r="B63" s="22"/>
      <c r="C63" s="22"/>
      <c r="D63" s="22">
        <v>12</v>
      </c>
      <c r="E63" s="45">
        <f>E49/12</f>
        <v>7.5000000000000011E-2</v>
      </c>
      <c r="F63" s="45">
        <f>F49/12</f>
        <v>8.2500000000000004E-2</v>
      </c>
      <c r="G63" s="22"/>
      <c r="H63" s="45">
        <f>H49/12</f>
        <v>0.1125</v>
      </c>
      <c r="I63" s="22"/>
      <c r="J63" s="14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>
      <c r="A64" s="22"/>
      <c r="B64" s="22"/>
      <c r="C64" s="22"/>
      <c r="D64" s="22"/>
      <c r="E64" s="45"/>
      <c r="F64" s="45"/>
      <c r="G64" s="22"/>
      <c r="H64" s="4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6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44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6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6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6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</sheetData>
  <pageMargins left="0.75" right="0.75" top="1" bottom="1" header="0.5" footer="0.5"/>
  <pageSetup paperSize="5" scale="69" orientation="landscape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15"/>
  <sheetViews>
    <sheetView tabSelected="1" topLeftCell="A4" zoomScaleNormal="100" workbookViewId="0">
      <pane ySplit="5" topLeftCell="A9" activePane="bottomLeft" state="frozen"/>
      <selection activeCell="A4" sqref="A4"/>
      <selection pane="bottomLeft" activeCell="F9" sqref="F9"/>
    </sheetView>
  </sheetViews>
  <sheetFormatPr defaultRowHeight="12.75"/>
  <cols>
    <col min="1" max="1" width="16.7109375" customWidth="1"/>
    <col min="2" max="4" width="8.7109375" customWidth="1"/>
    <col min="5" max="5" width="10.7109375" customWidth="1"/>
    <col min="6" max="6" width="8.7109375" customWidth="1"/>
    <col min="7" max="7" width="9.7109375" customWidth="1"/>
    <col min="8" max="8" width="7.7109375" customWidth="1"/>
    <col min="9" max="9" width="8.7109375" customWidth="1"/>
    <col min="10" max="10" width="9.7109375" customWidth="1"/>
    <col min="11" max="12" width="7.7109375" customWidth="1"/>
    <col min="13" max="13" width="8.7109375" customWidth="1"/>
    <col min="14" max="14" width="9.7109375" customWidth="1"/>
    <col min="15" max="15" width="8.7109375" customWidth="1"/>
    <col min="16" max="17" width="7.7109375" customWidth="1"/>
    <col min="18" max="18" width="8.7109375" customWidth="1"/>
    <col min="19" max="19" width="0.42578125" customWidth="1"/>
    <col min="20" max="20" width="8.7109375" customWidth="1"/>
    <col min="21" max="24" width="6.7109375" customWidth="1"/>
    <col min="25" max="25" width="7.7109375" customWidth="1"/>
    <col min="26" max="26" width="9.7109375" customWidth="1"/>
    <col min="27" max="30" width="8.7109375" customWidth="1"/>
    <col min="31" max="31" width="6.7109375" customWidth="1"/>
    <col min="32" max="32" width="9.7109375" customWidth="1"/>
    <col min="33" max="33" width="6.7109375" customWidth="1"/>
    <col min="34" max="34" width="1.7109375" customWidth="1"/>
    <col min="35" max="36" width="8.7109375" customWidth="1"/>
    <col min="37" max="37" width="6.7109375" customWidth="1"/>
    <col min="38" max="38" width="1.7109375" customWidth="1"/>
    <col min="39" max="41" width="8.7109375" customWidth="1"/>
    <col min="42" max="42" width="1.7109375" customWidth="1"/>
    <col min="43" max="45" width="8.7109375" customWidth="1"/>
    <col min="46" max="46" width="1.7109375" customWidth="1"/>
    <col min="47" max="47" width="8.7109375" customWidth="1"/>
    <col min="48" max="48" width="12.7109375" customWidth="1"/>
    <col min="49" max="49" width="8.7109375" customWidth="1"/>
    <col min="50" max="50" width="1.7109375" customWidth="1"/>
    <col min="51" max="51" width="23.7109375" customWidth="1"/>
    <col min="52" max="54" width="10.7109375" customWidth="1"/>
    <col min="55" max="55" width="1.7109375" customWidth="1"/>
    <col min="56" max="58" width="10.7109375" customWidth="1"/>
    <col min="59" max="59" width="1.7109375" customWidth="1"/>
    <col min="60" max="62" width="10.7109375" customWidth="1"/>
    <col min="63" max="63" width="1.7109375" customWidth="1"/>
    <col min="64" max="66" width="10.7109375" customWidth="1"/>
    <col min="67" max="67" width="1.7109375" customWidth="1"/>
    <col min="68" max="70" width="10.7109375" customWidth="1"/>
    <col min="71" max="71" width="1.7109375" customWidth="1"/>
    <col min="72" max="74" width="10.7109375" customWidth="1"/>
    <col min="75" max="75" width="1.7109375" customWidth="1"/>
    <col min="76" max="76" width="10.7109375" customWidth="1"/>
    <col min="77" max="78" width="10.28515625" bestFit="1" customWidth="1"/>
    <col min="79" max="79" width="1.7109375" customWidth="1"/>
    <col min="80" max="82" width="10.28515625" bestFit="1" customWidth="1"/>
    <col min="83" max="83" width="1.7109375" customWidth="1"/>
    <col min="84" max="86" width="10.28515625" bestFit="1" customWidth="1"/>
    <col min="87" max="87" width="1.7109375" customWidth="1"/>
    <col min="88" max="90" width="10.28515625" bestFit="1" customWidth="1"/>
    <col min="91" max="91" width="1.7109375" customWidth="1"/>
    <col min="95" max="95" width="1.7109375" customWidth="1"/>
    <col min="96" max="98" width="10.7109375" customWidth="1"/>
    <col min="99" max="99" width="1.7109375" customWidth="1"/>
    <col min="103" max="103" width="1.7109375" customWidth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.75" customHeight="1">
      <c r="A4" s="1"/>
      <c r="B4" s="3" t="s">
        <v>12</v>
      </c>
      <c r="C4" s="1"/>
      <c r="D4" s="28"/>
      <c r="E4" s="1"/>
      <c r="F4" s="1"/>
      <c r="G4" s="26" t="s">
        <v>20</v>
      </c>
      <c r="H4" s="29"/>
      <c r="I4" s="29" t="s">
        <v>90</v>
      </c>
      <c r="J4" s="29"/>
      <c r="K4" s="29"/>
      <c r="L4" s="29"/>
      <c r="M4" s="29"/>
      <c r="N4" s="29"/>
      <c r="O4" s="29"/>
      <c r="P4" s="2"/>
      <c r="Q4" s="2"/>
      <c r="R4" s="2"/>
      <c r="S4" s="2"/>
      <c r="T4" s="2" t="s">
        <v>13</v>
      </c>
      <c r="U4" s="2"/>
      <c r="V4" s="2"/>
      <c r="W4" s="2"/>
      <c r="X4" s="2"/>
      <c r="Y4" s="2"/>
      <c r="Z4" s="2"/>
      <c r="AA4" s="1"/>
      <c r="AB4" s="1"/>
      <c r="AC4" s="1"/>
      <c r="AD4" s="1"/>
    </row>
    <row r="5" spans="1:30" ht="18.75" customHeight="1">
      <c r="A5" s="4" t="s">
        <v>2</v>
      </c>
      <c r="B5" s="4"/>
      <c r="C5" s="4" t="s">
        <v>1</v>
      </c>
      <c r="D5" s="4" t="s">
        <v>14</v>
      </c>
      <c r="E5" s="5" t="s">
        <v>15</v>
      </c>
      <c r="F5" s="6" t="s">
        <v>18</v>
      </c>
      <c r="G5" s="6" t="s">
        <v>71</v>
      </c>
      <c r="H5" s="6" t="s">
        <v>73</v>
      </c>
      <c r="I5" s="6" t="s">
        <v>60</v>
      </c>
      <c r="J5" s="6" t="s">
        <v>62</v>
      </c>
      <c r="K5" s="6" t="s">
        <v>23</v>
      </c>
      <c r="L5" s="6" t="s">
        <v>84</v>
      </c>
      <c r="M5" s="6" t="s">
        <v>85</v>
      </c>
      <c r="N5" s="6" t="s">
        <v>78</v>
      </c>
      <c r="O5" s="6" t="s">
        <v>64</v>
      </c>
      <c r="P5" s="6" t="s">
        <v>25</v>
      </c>
      <c r="Q5" s="6" t="s">
        <v>16</v>
      </c>
      <c r="R5" s="6" t="s">
        <v>76</v>
      </c>
      <c r="S5" s="6"/>
      <c r="T5" s="6" t="s">
        <v>22</v>
      </c>
      <c r="U5" s="6" t="s">
        <v>29</v>
      </c>
      <c r="V5" s="6" t="s">
        <v>27</v>
      </c>
      <c r="W5" s="6" t="s">
        <v>66</v>
      </c>
      <c r="X5" s="6" t="s">
        <v>91</v>
      </c>
      <c r="Y5" s="6" t="s">
        <v>87</v>
      </c>
      <c r="Z5" s="6" t="s">
        <v>69</v>
      </c>
      <c r="AA5" s="6" t="s">
        <v>3</v>
      </c>
      <c r="AB5" s="6" t="s">
        <v>3</v>
      </c>
      <c r="AC5" s="6"/>
      <c r="AD5" s="6"/>
    </row>
    <row r="6" spans="1:30" ht="18.75" customHeight="1">
      <c r="A6" s="8" t="s">
        <v>94</v>
      </c>
      <c r="B6" s="4" t="s">
        <v>4</v>
      </c>
      <c r="C6" s="4" t="s">
        <v>3</v>
      </c>
      <c r="D6" s="4" t="s">
        <v>5</v>
      </c>
      <c r="E6" s="4" t="s">
        <v>3</v>
      </c>
      <c r="F6" s="6" t="s">
        <v>19</v>
      </c>
      <c r="G6" s="6" t="s">
        <v>72</v>
      </c>
      <c r="H6" s="6" t="s">
        <v>74</v>
      </c>
      <c r="I6" s="6" t="s">
        <v>61</v>
      </c>
      <c r="J6" s="6" t="s">
        <v>63</v>
      </c>
      <c r="K6" s="6" t="s">
        <v>24</v>
      </c>
      <c r="L6" s="6" t="s">
        <v>61</v>
      </c>
      <c r="M6" s="6" t="s">
        <v>86</v>
      </c>
      <c r="N6" s="6" t="s">
        <v>79</v>
      </c>
      <c r="O6" s="6" t="s">
        <v>65</v>
      </c>
      <c r="P6" s="6" t="s">
        <v>26</v>
      </c>
      <c r="Q6" s="6" t="s">
        <v>17</v>
      </c>
      <c r="R6" s="6" t="s">
        <v>77</v>
      </c>
      <c r="S6" s="6"/>
      <c r="T6" s="7" t="s">
        <v>21</v>
      </c>
      <c r="U6" s="7" t="s">
        <v>30</v>
      </c>
      <c r="V6" s="7" t="s">
        <v>28</v>
      </c>
      <c r="W6" s="7" t="s">
        <v>67</v>
      </c>
      <c r="X6" s="6" t="s">
        <v>92</v>
      </c>
      <c r="Y6" s="6" t="s">
        <v>88</v>
      </c>
      <c r="Z6" s="7" t="s">
        <v>70</v>
      </c>
      <c r="AA6" s="6" t="s">
        <v>7</v>
      </c>
      <c r="AB6" s="6" t="s">
        <v>8</v>
      </c>
      <c r="AC6" s="6"/>
      <c r="AD6" s="6"/>
    </row>
    <row r="7" spans="1:30" ht="18.75" customHeight="1">
      <c r="A7" s="8" t="s">
        <v>59</v>
      </c>
      <c r="B7" s="4" t="s">
        <v>9</v>
      </c>
      <c r="C7" s="9">
        <v>0.04</v>
      </c>
      <c r="D7" s="9">
        <v>0.01</v>
      </c>
      <c r="E7" s="10">
        <v>0.1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 t="s">
        <v>6</v>
      </c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ht="18.75" customHeight="1">
      <c r="A8" s="8" t="s">
        <v>10</v>
      </c>
      <c r="B8" s="4"/>
      <c r="C8" s="4"/>
      <c r="D8" s="4"/>
      <c r="E8" s="11"/>
      <c r="F8" s="12">
        <v>6</v>
      </c>
      <c r="G8" s="12">
        <v>5</v>
      </c>
      <c r="H8" s="12">
        <v>5</v>
      </c>
      <c r="I8" s="12">
        <v>5</v>
      </c>
      <c r="J8" s="12">
        <v>5</v>
      </c>
      <c r="K8" s="12">
        <v>5</v>
      </c>
      <c r="L8" s="12">
        <v>5</v>
      </c>
      <c r="M8" s="12">
        <v>5</v>
      </c>
      <c r="N8" s="12">
        <v>5</v>
      </c>
      <c r="O8" s="12">
        <v>5</v>
      </c>
      <c r="P8" s="12">
        <v>5</v>
      </c>
      <c r="Q8" s="12">
        <v>5</v>
      </c>
      <c r="R8" s="12">
        <v>5</v>
      </c>
      <c r="S8" s="12">
        <v>60</v>
      </c>
      <c r="T8" s="12">
        <v>6</v>
      </c>
      <c r="U8" s="12">
        <v>6</v>
      </c>
      <c r="V8" s="12">
        <v>6</v>
      </c>
      <c r="W8" s="12">
        <v>6</v>
      </c>
      <c r="X8" s="12">
        <v>6</v>
      </c>
      <c r="Y8" s="12">
        <v>6</v>
      </c>
      <c r="Z8" s="12">
        <v>6</v>
      </c>
      <c r="AA8" s="13"/>
      <c r="AB8" s="13"/>
      <c r="AC8" s="13"/>
      <c r="AD8" s="13"/>
    </row>
    <row r="9" spans="1:30" ht="18.75" customHeight="1">
      <c r="A9" s="14">
        <v>43675</v>
      </c>
      <c r="B9" s="15">
        <f>SUM(K49:O49)/15%</f>
        <v>8018.3333333333339</v>
      </c>
      <c r="C9" s="16">
        <f t="shared" ref="C9:C22" si="0">B9*15%/15*4</f>
        <v>320.73333333333335</v>
      </c>
      <c r="D9" s="16">
        <f t="shared" ref="D9:D22" si="1">B9*15%/15*1</f>
        <v>80.183333333333337</v>
      </c>
      <c r="E9" s="27">
        <f t="shared" ref="E9:E22" si="2">B9*15%/15*10</f>
        <v>801.83333333333337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7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9">
        <f t="shared" ref="AA9:AA22" si="3">SUM(C9:E9)</f>
        <v>1202.75</v>
      </c>
      <c r="AB9" s="18">
        <f t="shared" ref="AB9:AB22" si="4">SUM(F9:Z9)</f>
        <v>0</v>
      </c>
      <c r="AC9" s="18">
        <f t="shared" ref="AC9:AC11" si="5">AA9-AB9</f>
        <v>1202.75</v>
      </c>
      <c r="AD9" s="18"/>
    </row>
    <row r="10" spans="1:30" ht="18.75" customHeight="1">
      <c r="A10" s="14">
        <f>+A9+1</f>
        <v>43676</v>
      </c>
      <c r="B10" s="15">
        <f>SUM(K50:O50)/15%</f>
        <v>0</v>
      </c>
      <c r="C10" s="16">
        <f t="shared" si="0"/>
        <v>0</v>
      </c>
      <c r="D10" s="16">
        <f t="shared" si="1"/>
        <v>0</v>
      </c>
      <c r="E10" s="27">
        <f t="shared" si="2"/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7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9">
        <f t="shared" ref="AA10:AA11" si="6">SUM(C10:E10)</f>
        <v>0</v>
      </c>
      <c r="AB10" s="18">
        <f t="shared" si="4"/>
        <v>0</v>
      </c>
      <c r="AC10" s="18">
        <f t="shared" si="5"/>
        <v>0</v>
      </c>
      <c r="AD10" s="18"/>
    </row>
    <row r="11" spans="1:30" ht="18.75" customHeight="1">
      <c r="A11" s="14">
        <f>+A10+1</f>
        <v>43677</v>
      </c>
      <c r="B11" s="15">
        <f t="shared" ref="B11:B22" si="7">SUM(K51:O51)/15%</f>
        <v>0</v>
      </c>
      <c r="C11" s="16">
        <f t="shared" si="0"/>
        <v>0</v>
      </c>
      <c r="D11" s="16">
        <f t="shared" si="1"/>
        <v>0</v>
      </c>
      <c r="E11" s="27">
        <f t="shared" si="2"/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7"/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9">
        <f t="shared" si="6"/>
        <v>0</v>
      </c>
      <c r="AB11" s="18">
        <f t="shared" si="4"/>
        <v>0</v>
      </c>
      <c r="AC11" s="18">
        <f t="shared" si="5"/>
        <v>0</v>
      </c>
      <c r="AD11" s="18"/>
    </row>
    <row r="12" spans="1:30" ht="18.75" customHeight="1">
      <c r="A12" s="14">
        <f t="shared" ref="A12:A22" si="8">+A11+1</f>
        <v>43678</v>
      </c>
      <c r="B12" s="15">
        <f t="shared" si="7"/>
        <v>0</v>
      </c>
      <c r="C12" s="16">
        <f t="shared" si="0"/>
        <v>0</v>
      </c>
      <c r="D12" s="16">
        <f t="shared" si="1"/>
        <v>0</v>
      </c>
      <c r="E12" s="27">
        <f t="shared" si="2"/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7"/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9">
        <f t="shared" si="3"/>
        <v>0</v>
      </c>
      <c r="AB12" s="18">
        <f t="shared" si="4"/>
        <v>0</v>
      </c>
      <c r="AC12" s="18">
        <f>AA12-AB12</f>
        <v>0</v>
      </c>
      <c r="AD12" s="18"/>
    </row>
    <row r="13" spans="1:30" ht="18.75" customHeight="1">
      <c r="A13" s="14">
        <f t="shared" si="8"/>
        <v>43679</v>
      </c>
      <c r="B13" s="15">
        <f>SUM(K53:O53)/15%</f>
        <v>0</v>
      </c>
      <c r="C13" s="16">
        <f t="shared" si="0"/>
        <v>0</v>
      </c>
      <c r="D13" s="16">
        <f t="shared" si="1"/>
        <v>0</v>
      </c>
      <c r="E13" s="27">
        <f t="shared" si="2"/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7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9">
        <f t="shared" si="3"/>
        <v>0</v>
      </c>
      <c r="AB13" s="18">
        <f t="shared" si="4"/>
        <v>0</v>
      </c>
      <c r="AC13" s="18">
        <f t="shared" ref="AC13:AC22" si="9">AA13-AB13</f>
        <v>0</v>
      </c>
      <c r="AD13" s="18"/>
    </row>
    <row r="14" spans="1:30" ht="18.75" customHeight="1">
      <c r="A14" s="14">
        <f>+A13+1</f>
        <v>43680</v>
      </c>
      <c r="B14" s="15">
        <f t="shared" si="7"/>
        <v>0</v>
      </c>
      <c r="C14" s="16">
        <f t="shared" si="0"/>
        <v>0</v>
      </c>
      <c r="D14" s="16">
        <f t="shared" si="1"/>
        <v>0</v>
      </c>
      <c r="E14" s="27">
        <f t="shared" si="2"/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7"/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9">
        <f t="shared" si="3"/>
        <v>0</v>
      </c>
      <c r="AB14" s="18">
        <f t="shared" si="4"/>
        <v>0</v>
      </c>
      <c r="AC14" s="18">
        <f t="shared" si="9"/>
        <v>0</v>
      </c>
      <c r="AD14" s="18"/>
    </row>
    <row r="15" spans="1:30" ht="18.75" customHeight="1">
      <c r="A15" s="14">
        <f t="shared" si="8"/>
        <v>43681</v>
      </c>
      <c r="B15" s="15">
        <f t="shared" si="7"/>
        <v>0</v>
      </c>
      <c r="C15" s="16">
        <f t="shared" si="0"/>
        <v>0</v>
      </c>
      <c r="D15" s="16">
        <f t="shared" si="1"/>
        <v>0</v>
      </c>
      <c r="E15" s="27">
        <f t="shared" si="2"/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7"/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9">
        <f t="shared" si="3"/>
        <v>0</v>
      </c>
      <c r="AB15" s="18">
        <f t="shared" si="4"/>
        <v>0</v>
      </c>
      <c r="AC15" s="18">
        <f t="shared" si="9"/>
        <v>0</v>
      </c>
      <c r="AD15" s="18"/>
    </row>
    <row r="16" spans="1:30" ht="18.75" customHeight="1">
      <c r="A16" s="14">
        <f t="shared" si="8"/>
        <v>43682</v>
      </c>
      <c r="B16" s="15">
        <f t="shared" si="7"/>
        <v>0</v>
      </c>
      <c r="C16" s="16">
        <f t="shared" si="0"/>
        <v>0</v>
      </c>
      <c r="D16" s="16">
        <f t="shared" si="1"/>
        <v>0</v>
      </c>
      <c r="E16" s="27">
        <f t="shared" si="2"/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7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9">
        <f t="shared" si="3"/>
        <v>0</v>
      </c>
      <c r="AB16" s="18">
        <f t="shared" si="4"/>
        <v>0</v>
      </c>
      <c r="AC16" s="18">
        <f>AA16-AB16</f>
        <v>0</v>
      </c>
      <c r="AD16" s="18"/>
    </row>
    <row r="17" spans="1:38" ht="18.75" customHeight="1">
      <c r="A17" s="14">
        <f t="shared" si="8"/>
        <v>43683</v>
      </c>
      <c r="B17" s="15">
        <f t="shared" si="7"/>
        <v>0</v>
      </c>
      <c r="C17" s="16">
        <f t="shared" si="0"/>
        <v>0</v>
      </c>
      <c r="D17" s="16">
        <f t="shared" si="1"/>
        <v>0</v>
      </c>
      <c r="E17" s="27">
        <f t="shared" si="2"/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7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9">
        <f t="shared" si="3"/>
        <v>0</v>
      </c>
      <c r="AB17" s="18">
        <f t="shared" si="4"/>
        <v>0</v>
      </c>
      <c r="AC17" s="18">
        <f t="shared" si="9"/>
        <v>0</v>
      </c>
      <c r="AD17" s="18"/>
    </row>
    <row r="18" spans="1:38" ht="18.75" customHeight="1">
      <c r="A18" s="14">
        <f t="shared" si="8"/>
        <v>43684</v>
      </c>
      <c r="B18" s="15">
        <f t="shared" si="7"/>
        <v>0</v>
      </c>
      <c r="C18" s="16">
        <f t="shared" si="0"/>
        <v>0</v>
      </c>
      <c r="D18" s="16">
        <f t="shared" si="1"/>
        <v>0</v>
      </c>
      <c r="E18" s="27">
        <f t="shared" si="2"/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7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9">
        <f t="shared" si="3"/>
        <v>0</v>
      </c>
      <c r="AB18" s="18">
        <f t="shared" si="4"/>
        <v>0</v>
      </c>
      <c r="AC18" s="18">
        <f t="shared" si="9"/>
        <v>0</v>
      </c>
      <c r="AD18" s="18"/>
      <c r="AL18" t="s">
        <v>11</v>
      </c>
    </row>
    <row r="19" spans="1:38" ht="18.75" customHeight="1">
      <c r="A19" s="14">
        <f t="shared" si="8"/>
        <v>43685</v>
      </c>
      <c r="B19" s="15">
        <f t="shared" ref="B19" si="10">SUM(K59:O59)/15%</f>
        <v>0</v>
      </c>
      <c r="C19" s="16">
        <f t="shared" si="0"/>
        <v>0</v>
      </c>
      <c r="D19" s="16">
        <f t="shared" si="1"/>
        <v>0</v>
      </c>
      <c r="E19" s="27">
        <f t="shared" si="2"/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7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9">
        <f t="shared" si="3"/>
        <v>0</v>
      </c>
      <c r="AB19" s="18">
        <f t="shared" si="4"/>
        <v>0</v>
      </c>
      <c r="AC19" s="18">
        <f t="shared" si="9"/>
        <v>0</v>
      </c>
      <c r="AD19" s="18"/>
    </row>
    <row r="20" spans="1:38" ht="18.75" customHeight="1">
      <c r="A20" s="14">
        <f t="shared" si="8"/>
        <v>43686</v>
      </c>
      <c r="B20" s="15">
        <f t="shared" si="7"/>
        <v>0</v>
      </c>
      <c r="C20" s="16">
        <f t="shared" si="0"/>
        <v>0</v>
      </c>
      <c r="D20" s="16">
        <f t="shared" si="1"/>
        <v>0</v>
      </c>
      <c r="E20" s="27">
        <f t="shared" si="2"/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7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9">
        <f t="shared" si="3"/>
        <v>0</v>
      </c>
      <c r="AB20" s="18">
        <f t="shared" si="4"/>
        <v>0</v>
      </c>
      <c r="AC20" s="18">
        <f t="shared" si="9"/>
        <v>0</v>
      </c>
      <c r="AD20" s="18"/>
    </row>
    <row r="21" spans="1:38" ht="18.75" customHeight="1">
      <c r="A21" s="14">
        <f t="shared" si="8"/>
        <v>43687</v>
      </c>
      <c r="B21" s="15">
        <f t="shared" si="7"/>
        <v>0</v>
      </c>
      <c r="C21" s="16">
        <f t="shared" si="0"/>
        <v>0</v>
      </c>
      <c r="D21" s="16">
        <f t="shared" si="1"/>
        <v>0</v>
      </c>
      <c r="E21" s="27">
        <f t="shared" si="2"/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7"/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9">
        <f t="shared" si="3"/>
        <v>0</v>
      </c>
      <c r="AB21" s="18">
        <f t="shared" si="4"/>
        <v>0</v>
      </c>
      <c r="AC21" s="18">
        <f t="shared" si="9"/>
        <v>0</v>
      </c>
      <c r="AD21" s="18"/>
    </row>
    <row r="22" spans="1:38" ht="18.75" customHeight="1">
      <c r="A22" s="14">
        <f t="shared" si="8"/>
        <v>43688</v>
      </c>
      <c r="B22" s="15">
        <f t="shared" si="7"/>
        <v>0</v>
      </c>
      <c r="C22" s="16">
        <f t="shared" si="0"/>
        <v>0</v>
      </c>
      <c r="D22" s="16">
        <f t="shared" si="1"/>
        <v>0</v>
      </c>
      <c r="E22" s="27">
        <f t="shared" si="2"/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7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9">
        <f t="shared" si="3"/>
        <v>0</v>
      </c>
      <c r="AB22" s="18">
        <f t="shared" si="4"/>
        <v>0</v>
      </c>
      <c r="AC22" s="18">
        <f t="shared" si="9"/>
        <v>0</v>
      </c>
      <c r="AD22" s="18"/>
    </row>
    <row r="23" spans="1:38" ht="18.75" customHeight="1">
      <c r="A23" s="20"/>
      <c r="B23" s="21">
        <f>SUM(B9:B22)</f>
        <v>8018.3333333333339</v>
      </c>
      <c r="C23" s="49">
        <f>SUM(C9:C22)</f>
        <v>320.73333333333335</v>
      </c>
      <c r="D23" s="21">
        <f>SUM(D9:D22)</f>
        <v>80.183333333333337</v>
      </c>
      <c r="E23" s="21">
        <f>SUM(E9:E22)</f>
        <v>801.83333333333337</v>
      </c>
      <c r="F23" s="30">
        <f>SUM(F9:F22)</f>
        <v>0</v>
      </c>
      <c r="G23" s="30">
        <f t="shared" ref="G23:Z23" si="11">SUM(G9:G22)</f>
        <v>0</v>
      </c>
      <c r="H23" s="30">
        <f t="shared" si="11"/>
        <v>0</v>
      </c>
      <c r="I23" s="30">
        <f t="shared" si="11"/>
        <v>0</v>
      </c>
      <c r="J23" s="30">
        <f t="shared" si="11"/>
        <v>0</v>
      </c>
      <c r="K23" s="30">
        <f t="shared" si="11"/>
        <v>0</v>
      </c>
      <c r="L23" s="30">
        <f t="shared" si="11"/>
        <v>0</v>
      </c>
      <c r="M23" s="30">
        <f t="shared" si="11"/>
        <v>0</v>
      </c>
      <c r="N23" s="30">
        <f t="shared" si="11"/>
        <v>0</v>
      </c>
      <c r="O23" s="30">
        <f t="shared" si="11"/>
        <v>0</v>
      </c>
      <c r="P23" s="30">
        <f t="shared" si="11"/>
        <v>0</v>
      </c>
      <c r="Q23" s="30">
        <f t="shared" si="11"/>
        <v>0</v>
      </c>
      <c r="R23" s="30">
        <f t="shared" si="11"/>
        <v>0</v>
      </c>
      <c r="S23" s="39">
        <f t="shared" si="11"/>
        <v>0</v>
      </c>
      <c r="T23" s="30">
        <f t="shared" si="11"/>
        <v>0</v>
      </c>
      <c r="U23" s="30">
        <f t="shared" si="11"/>
        <v>0</v>
      </c>
      <c r="V23" s="30">
        <f t="shared" si="11"/>
        <v>0</v>
      </c>
      <c r="W23" s="30">
        <f t="shared" si="11"/>
        <v>0</v>
      </c>
      <c r="X23" s="30">
        <f t="shared" si="11"/>
        <v>0</v>
      </c>
      <c r="Y23" s="30">
        <f t="shared" si="11"/>
        <v>0</v>
      </c>
      <c r="Z23" s="30">
        <f t="shared" si="11"/>
        <v>0</v>
      </c>
      <c r="AA23" s="60">
        <f>SUM(AA9:AA22)</f>
        <v>1202.75</v>
      </c>
      <c r="AB23" s="60">
        <f>SUM(AB9:AB22)+F41</f>
        <v>320.73333333333329</v>
      </c>
      <c r="AC23" s="54">
        <f>SUM(AC9:AC22)</f>
        <v>1202.75</v>
      </c>
      <c r="AD23" s="43"/>
    </row>
    <row r="24" spans="1:38" ht="20.100000000000001" customHeight="1">
      <c r="A24" s="32"/>
      <c r="B24" s="33"/>
      <c r="C24" s="33"/>
      <c r="D24" s="33"/>
      <c r="E24" s="33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20"/>
      <c r="Q24" s="36"/>
      <c r="R24" s="36"/>
      <c r="S24" s="38"/>
      <c r="T24" s="37"/>
      <c r="U24" s="36"/>
      <c r="V24" s="36"/>
      <c r="W24" s="36"/>
      <c r="X24" s="36"/>
      <c r="Y24" s="36"/>
      <c r="Z24" s="36"/>
      <c r="AA24" s="36"/>
      <c r="AB24" s="42"/>
      <c r="AC24" s="44"/>
      <c r="AD24" s="44"/>
    </row>
    <row r="25" spans="1:38" ht="20.100000000000001" customHeight="1">
      <c r="A25" s="20" t="s">
        <v>31</v>
      </c>
      <c r="B25" s="31"/>
      <c r="C25" s="31"/>
      <c r="D25" s="31"/>
      <c r="E25" s="31"/>
      <c r="F25" s="41">
        <f t="shared" ref="F25:R25" si="12">F23*5%</f>
        <v>0</v>
      </c>
      <c r="G25" s="41">
        <f t="shared" si="12"/>
        <v>0</v>
      </c>
      <c r="H25" s="41">
        <f t="shared" si="12"/>
        <v>0</v>
      </c>
      <c r="I25" s="41">
        <f t="shared" si="12"/>
        <v>0</v>
      </c>
      <c r="J25" s="41">
        <f t="shared" si="12"/>
        <v>0</v>
      </c>
      <c r="K25" s="41">
        <f t="shared" si="12"/>
        <v>0</v>
      </c>
      <c r="L25" s="41">
        <f t="shared" si="12"/>
        <v>0</v>
      </c>
      <c r="M25" s="41">
        <f t="shared" si="12"/>
        <v>0</v>
      </c>
      <c r="N25" s="41">
        <f t="shared" si="12"/>
        <v>0</v>
      </c>
      <c r="O25" s="41">
        <f t="shared" si="12"/>
        <v>0</v>
      </c>
      <c r="P25" s="41">
        <f t="shared" si="12"/>
        <v>0</v>
      </c>
      <c r="Q25" s="41">
        <f t="shared" si="12"/>
        <v>0</v>
      </c>
      <c r="R25" s="41">
        <f t="shared" si="12"/>
        <v>0</v>
      </c>
      <c r="S25" s="38"/>
      <c r="T25" s="41">
        <f>T23*5%</f>
        <v>0</v>
      </c>
      <c r="U25" s="41">
        <f>U23*5%</f>
        <v>0</v>
      </c>
      <c r="V25" s="41">
        <f>V23*5%</f>
        <v>0</v>
      </c>
      <c r="W25" s="41">
        <f>W23*5%</f>
        <v>0</v>
      </c>
      <c r="X25" s="41"/>
      <c r="Y25" s="41"/>
      <c r="Z25" s="41"/>
      <c r="AA25" s="36"/>
      <c r="AB25" s="40">
        <f>SUM(F25:Z25)</f>
        <v>0</v>
      </c>
      <c r="AC25" s="45"/>
      <c r="AD25" s="45"/>
    </row>
    <row r="26" spans="1:38" ht="20.100000000000001" customHeight="1">
      <c r="A26" s="20" t="s">
        <v>32</v>
      </c>
      <c r="B26" s="31"/>
      <c r="C26" s="31"/>
      <c r="D26" s="31"/>
      <c r="E26" s="31"/>
      <c r="F26" s="41">
        <f t="shared" ref="F26:R26" si="13">F23*5%</f>
        <v>0</v>
      </c>
      <c r="G26" s="41">
        <f t="shared" si="13"/>
        <v>0</v>
      </c>
      <c r="H26" s="41">
        <f t="shared" si="13"/>
        <v>0</v>
      </c>
      <c r="I26" s="41">
        <f t="shared" si="13"/>
        <v>0</v>
      </c>
      <c r="J26" s="41">
        <f t="shared" si="13"/>
        <v>0</v>
      </c>
      <c r="K26" s="41">
        <f t="shared" si="13"/>
        <v>0</v>
      </c>
      <c r="L26" s="41">
        <f t="shared" si="13"/>
        <v>0</v>
      </c>
      <c r="M26" s="41">
        <f t="shared" si="13"/>
        <v>0</v>
      </c>
      <c r="N26" s="41">
        <f t="shared" si="13"/>
        <v>0</v>
      </c>
      <c r="O26" s="41">
        <f t="shared" si="13"/>
        <v>0</v>
      </c>
      <c r="P26" s="41">
        <f t="shared" si="13"/>
        <v>0</v>
      </c>
      <c r="Q26" s="41">
        <f t="shared" si="13"/>
        <v>0</v>
      </c>
      <c r="R26" s="41">
        <f t="shared" si="13"/>
        <v>0</v>
      </c>
      <c r="S26" s="38"/>
      <c r="T26" s="41">
        <f>T23*5%</f>
        <v>0</v>
      </c>
      <c r="U26" s="41">
        <f>U23*5%</f>
        <v>0</v>
      </c>
      <c r="V26" s="41">
        <f>V23*5%</f>
        <v>0</v>
      </c>
      <c r="W26" s="41">
        <f>W23*5%</f>
        <v>0</v>
      </c>
      <c r="X26" s="41"/>
      <c r="Y26" s="41"/>
      <c r="Z26" s="41"/>
      <c r="AA26" s="36"/>
      <c r="AB26" s="40">
        <f>SUM(F26:Z26)</f>
        <v>0</v>
      </c>
      <c r="AC26" s="45"/>
      <c r="AD26" s="45"/>
      <c r="AJ26" s="46"/>
    </row>
    <row r="27" spans="1:38" ht="20.100000000000001" customHeight="1">
      <c r="A27" s="34" t="s">
        <v>33</v>
      </c>
      <c r="B27" s="35"/>
      <c r="C27" s="35"/>
      <c r="D27" s="35"/>
      <c r="E27" s="35"/>
      <c r="F27" s="57">
        <f t="shared" ref="F27:R27" si="14">F23-F25</f>
        <v>0</v>
      </c>
      <c r="G27" s="57">
        <f t="shared" si="14"/>
        <v>0</v>
      </c>
      <c r="H27" s="57">
        <f t="shared" si="14"/>
        <v>0</v>
      </c>
      <c r="I27" s="57">
        <f t="shared" si="14"/>
        <v>0</v>
      </c>
      <c r="J27" s="57">
        <f t="shared" si="14"/>
        <v>0</v>
      </c>
      <c r="K27" s="57">
        <f t="shared" si="14"/>
        <v>0</v>
      </c>
      <c r="L27" s="57">
        <f t="shared" si="14"/>
        <v>0</v>
      </c>
      <c r="M27" s="57">
        <f t="shared" si="14"/>
        <v>0</v>
      </c>
      <c r="N27" s="57">
        <f t="shared" si="14"/>
        <v>0</v>
      </c>
      <c r="O27" s="57">
        <f t="shared" si="14"/>
        <v>0</v>
      </c>
      <c r="P27" s="57">
        <f t="shared" si="14"/>
        <v>0</v>
      </c>
      <c r="Q27" s="57">
        <f t="shared" si="14"/>
        <v>0</v>
      </c>
      <c r="R27" s="57">
        <f t="shared" si="14"/>
        <v>0</v>
      </c>
      <c r="S27" s="59"/>
      <c r="T27" s="57">
        <f>T23-T25</f>
        <v>0</v>
      </c>
      <c r="U27" s="57">
        <f>U23-U25</f>
        <v>0</v>
      </c>
      <c r="V27" s="57">
        <f>V23-V25</f>
        <v>0</v>
      </c>
      <c r="W27" s="57">
        <f>W23-W25</f>
        <v>0</v>
      </c>
      <c r="X27" s="57">
        <f t="shared" ref="X27:Y27" si="15">X23-X25</f>
        <v>0</v>
      </c>
      <c r="Y27" s="57">
        <f t="shared" si="15"/>
        <v>0</v>
      </c>
      <c r="Z27" s="57">
        <f>Z23-Z25</f>
        <v>0</v>
      </c>
      <c r="AA27" s="36"/>
      <c r="AB27" s="40">
        <f>SUM(AB25:AB26)</f>
        <v>0</v>
      </c>
      <c r="AC27" s="45"/>
      <c r="AD27" s="45"/>
    </row>
    <row r="28" spans="1:38">
      <c r="A28" s="48" t="s">
        <v>37</v>
      </c>
      <c r="B28" s="22" t="s">
        <v>42</v>
      </c>
      <c r="C28" s="22" t="s">
        <v>39</v>
      </c>
      <c r="D28" s="22" t="s">
        <v>35</v>
      </c>
      <c r="E28" s="22" t="s">
        <v>58</v>
      </c>
      <c r="F28" s="22" t="s">
        <v>51</v>
      </c>
      <c r="G28" s="22" t="s">
        <v>52</v>
      </c>
      <c r="H28" s="22" t="s">
        <v>52</v>
      </c>
      <c r="I28" s="23" t="s">
        <v>54</v>
      </c>
      <c r="J28" s="23"/>
      <c r="K28" s="23"/>
      <c r="L28" s="23"/>
      <c r="M28" s="23"/>
      <c r="N28" s="23"/>
      <c r="O28" s="23"/>
      <c r="P28" s="23"/>
      <c r="Q28" s="23"/>
      <c r="R28" s="23"/>
      <c r="S28" s="22"/>
      <c r="T28" s="22"/>
      <c r="U28" s="22"/>
      <c r="V28" s="22"/>
      <c r="W28" s="22"/>
      <c r="X28" s="22"/>
      <c r="Y28" s="22"/>
      <c r="Z28" s="22"/>
    </row>
    <row r="29" spans="1:38" ht="15.95" customHeight="1">
      <c r="A29" s="48" t="s">
        <v>56</v>
      </c>
      <c r="B29" s="22" t="s">
        <v>43</v>
      </c>
      <c r="C29" s="22" t="s">
        <v>40</v>
      </c>
      <c r="D29" s="22" t="s">
        <v>41</v>
      </c>
      <c r="E29" s="22" t="s">
        <v>34</v>
      </c>
      <c r="F29" s="22" t="s">
        <v>3</v>
      </c>
      <c r="G29" s="22" t="s">
        <v>36</v>
      </c>
      <c r="H29" s="22" t="s">
        <v>53</v>
      </c>
      <c r="I29" s="23" t="s">
        <v>55</v>
      </c>
      <c r="J29" s="23"/>
      <c r="K29" s="23"/>
      <c r="L29" s="23"/>
      <c r="M29" s="23"/>
      <c r="N29" s="23"/>
      <c r="O29" s="23"/>
      <c r="P29" s="23"/>
      <c r="Q29" s="23"/>
      <c r="R29" s="23"/>
      <c r="S29" s="22"/>
      <c r="T29" s="22"/>
      <c r="U29" s="22"/>
      <c r="V29" s="22"/>
      <c r="W29" s="22"/>
      <c r="X29" s="22"/>
      <c r="Y29" s="22"/>
      <c r="Z29" s="22"/>
    </row>
    <row r="30" spans="1:38" ht="15.95" customHeight="1">
      <c r="A30" s="14"/>
      <c r="B30" s="22" t="s">
        <v>44</v>
      </c>
      <c r="C30" s="22"/>
      <c r="D30" s="22"/>
      <c r="E30" s="22"/>
      <c r="F30" s="22"/>
      <c r="G30" s="22"/>
      <c r="H30" s="22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2"/>
      <c r="T30" s="22"/>
      <c r="U30" s="22"/>
      <c r="V30" s="22"/>
      <c r="W30" s="22"/>
      <c r="X30" s="22"/>
      <c r="Y30" s="22"/>
      <c r="Z30" s="22"/>
    </row>
    <row r="31" spans="1:38" ht="15.95" customHeight="1">
      <c r="A31" s="47" t="s">
        <v>38</v>
      </c>
      <c r="B31" s="51">
        <v>500</v>
      </c>
      <c r="C31" s="52">
        <v>2</v>
      </c>
      <c r="D31" s="52">
        <v>23</v>
      </c>
      <c r="E31" s="52">
        <f t="shared" ref="E31:E37" si="16">C31*D31</f>
        <v>46</v>
      </c>
      <c r="F31" s="51">
        <f>E31*E42</f>
        <v>43.844675581971273</v>
      </c>
      <c r="G31" s="51">
        <f t="shared" ref="G31:G36" si="17">F31*5%</f>
        <v>2.1922337790985638</v>
      </c>
      <c r="H31" s="51">
        <f t="shared" ref="H31:H36" si="18">F31*5%</f>
        <v>2.1922337790985638</v>
      </c>
      <c r="I31" s="58">
        <f t="shared" ref="I31:I37" si="19">F31-G31</f>
        <v>41.652441802872708</v>
      </c>
      <c r="J31" s="58"/>
      <c r="K31" s="23"/>
      <c r="L31" s="23"/>
      <c r="M31" s="64"/>
      <c r="N31" s="64"/>
      <c r="O31" s="58"/>
      <c r="P31" s="64"/>
      <c r="Q31" s="24"/>
      <c r="R31" s="24"/>
    </row>
    <row r="32" spans="1:38" ht="15.95" customHeight="1">
      <c r="A32" s="47" t="s">
        <v>45</v>
      </c>
      <c r="B32" s="51">
        <v>500</v>
      </c>
      <c r="C32" s="52">
        <v>2</v>
      </c>
      <c r="D32" s="52">
        <v>0</v>
      </c>
      <c r="E32" s="52">
        <f t="shared" si="16"/>
        <v>0</v>
      </c>
      <c r="F32" s="51">
        <f>E32*E42</f>
        <v>0</v>
      </c>
      <c r="G32" s="51">
        <f t="shared" si="17"/>
        <v>0</v>
      </c>
      <c r="H32" s="51">
        <f t="shared" si="18"/>
        <v>0</v>
      </c>
      <c r="I32" s="58">
        <f t="shared" si="19"/>
        <v>0</v>
      </c>
      <c r="J32" s="58"/>
      <c r="K32" s="23"/>
      <c r="L32" s="23"/>
      <c r="M32" s="23"/>
      <c r="N32" s="64"/>
      <c r="O32" s="23"/>
      <c r="P32" s="64"/>
    </row>
    <row r="33" spans="1:44" ht="15.95" customHeight="1">
      <c r="A33" s="47" t="s">
        <v>46</v>
      </c>
      <c r="B33" s="51">
        <v>500</v>
      </c>
      <c r="C33" s="53">
        <v>2</v>
      </c>
      <c r="D33" s="52">
        <v>23</v>
      </c>
      <c r="E33" s="52">
        <f t="shared" si="16"/>
        <v>46</v>
      </c>
      <c r="F33" s="51">
        <f>E33*E42</f>
        <v>43.844675581971273</v>
      </c>
      <c r="G33" s="51">
        <f t="shared" si="17"/>
        <v>2.1922337790985638</v>
      </c>
      <c r="H33" s="51">
        <f t="shared" si="18"/>
        <v>2.1922337790985638</v>
      </c>
      <c r="I33" s="58">
        <f t="shared" si="19"/>
        <v>41.652441802872708</v>
      </c>
      <c r="J33" s="58"/>
      <c r="K33" s="23"/>
      <c r="L33" s="23"/>
      <c r="M33" s="23"/>
      <c r="N33" s="23"/>
      <c r="O33" s="23"/>
    </row>
    <row r="34" spans="1:44" ht="15.95" customHeight="1">
      <c r="A34" s="47" t="s">
        <v>47</v>
      </c>
      <c r="B34" s="51">
        <v>425</v>
      </c>
      <c r="C34" s="53">
        <v>1.75</v>
      </c>
      <c r="D34" s="52">
        <v>23</v>
      </c>
      <c r="E34" s="52">
        <f t="shared" si="16"/>
        <v>40.25</v>
      </c>
      <c r="F34" s="51">
        <f>E34*E42</f>
        <v>38.364091134224864</v>
      </c>
      <c r="G34" s="51">
        <f t="shared" si="17"/>
        <v>1.9182045567112433</v>
      </c>
      <c r="H34" s="51">
        <f t="shared" si="18"/>
        <v>1.9182045567112433</v>
      </c>
      <c r="I34" s="58">
        <f t="shared" si="19"/>
        <v>36.445886577513619</v>
      </c>
      <c r="J34" s="58"/>
      <c r="K34" s="23"/>
      <c r="L34" s="23"/>
      <c r="M34" s="23"/>
      <c r="N34" s="23"/>
      <c r="O34" s="23"/>
    </row>
    <row r="35" spans="1:44" ht="15.95" customHeight="1">
      <c r="A35" s="47" t="s">
        <v>48</v>
      </c>
      <c r="B35" s="51">
        <v>500</v>
      </c>
      <c r="C35" s="53">
        <v>2</v>
      </c>
      <c r="D35" s="52">
        <v>23</v>
      </c>
      <c r="E35" s="52">
        <f t="shared" si="16"/>
        <v>46</v>
      </c>
      <c r="F35" s="51">
        <f>E35*E42</f>
        <v>43.844675581971273</v>
      </c>
      <c r="G35" s="51">
        <f t="shared" si="17"/>
        <v>2.1922337790985638</v>
      </c>
      <c r="H35" s="51">
        <f t="shared" si="18"/>
        <v>2.1922337790985638</v>
      </c>
      <c r="I35" s="58">
        <f t="shared" si="19"/>
        <v>41.652441802872708</v>
      </c>
      <c r="J35" s="58"/>
      <c r="K35" s="23"/>
      <c r="L35" s="23"/>
      <c r="M35" s="23"/>
      <c r="N35" s="23"/>
      <c r="O35" s="23"/>
    </row>
    <row r="36" spans="1:44" ht="15.95" customHeight="1">
      <c r="A36" s="47" t="s">
        <v>49</v>
      </c>
      <c r="B36" s="51">
        <v>425</v>
      </c>
      <c r="C36" s="53">
        <v>1.75</v>
      </c>
      <c r="D36" s="52">
        <v>23</v>
      </c>
      <c r="E36" s="52">
        <f t="shared" si="16"/>
        <v>40.25</v>
      </c>
      <c r="F36" s="51">
        <f>E36*E42</f>
        <v>38.364091134224864</v>
      </c>
      <c r="G36" s="51">
        <f t="shared" si="17"/>
        <v>1.9182045567112433</v>
      </c>
      <c r="H36" s="51">
        <f t="shared" si="18"/>
        <v>1.9182045567112433</v>
      </c>
      <c r="I36" s="58">
        <f t="shared" si="19"/>
        <v>36.445886577513619</v>
      </c>
      <c r="J36" s="58"/>
      <c r="K36" s="23"/>
      <c r="L36" s="23"/>
      <c r="M36" s="23"/>
      <c r="N36" s="23"/>
      <c r="O36" s="23"/>
    </row>
    <row r="37" spans="1:44" ht="15.95" customHeight="1">
      <c r="A37" s="47" t="s">
        <v>68</v>
      </c>
      <c r="B37" s="51">
        <v>500</v>
      </c>
      <c r="C37" s="53">
        <v>2</v>
      </c>
      <c r="D37" s="52">
        <v>24</v>
      </c>
      <c r="E37" s="52">
        <f t="shared" si="16"/>
        <v>48</v>
      </c>
      <c r="F37" s="51">
        <f>E37*E42</f>
        <v>45.750965824665677</v>
      </c>
      <c r="G37" s="51">
        <v>0</v>
      </c>
      <c r="H37" s="51">
        <v>0</v>
      </c>
      <c r="I37" s="58">
        <f t="shared" si="19"/>
        <v>45.750965824665677</v>
      </c>
      <c r="J37" s="58"/>
      <c r="K37" s="23"/>
      <c r="L37" s="23"/>
      <c r="M37" s="23"/>
      <c r="N37" s="23"/>
      <c r="O37" s="23"/>
    </row>
    <row r="38" spans="1:44" ht="15.95" customHeight="1">
      <c r="A38" s="47" t="s">
        <v>75</v>
      </c>
      <c r="B38" s="51">
        <v>500</v>
      </c>
      <c r="C38" s="52">
        <v>2</v>
      </c>
      <c r="D38" s="52">
        <v>12</v>
      </c>
      <c r="E38" s="52">
        <f>C38*D38</f>
        <v>24</v>
      </c>
      <c r="F38" s="51">
        <f>E38*E42</f>
        <v>22.875482912332838</v>
      </c>
      <c r="G38" s="51">
        <v>0</v>
      </c>
      <c r="H38" s="51">
        <v>0</v>
      </c>
      <c r="I38" s="58">
        <f>F38-G38</f>
        <v>22.875482912332838</v>
      </c>
      <c r="J38" s="58"/>
      <c r="K38" s="23"/>
      <c r="L38" s="23"/>
      <c r="M38" s="23"/>
      <c r="N38" s="23"/>
      <c r="O38" s="23"/>
    </row>
    <row r="39" spans="1:44" ht="15.95" customHeight="1">
      <c r="A39" s="47" t="s">
        <v>89</v>
      </c>
      <c r="B39" s="51">
        <v>500</v>
      </c>
      <c r="C39" s="53">
        <v>2</v>
      </c>
      <c r="D39" s="52">
        <v>23</v>
      </c>
      <c r="E39" s="52">
        <f t="shared" ref="E39" si="20">C39*D39</f>
        <v>46</v>
      </c>
      <c r="F39" s="51">
        <f>E39*E42</f>
        <v>43.844675581971273</v>
      </c>
      <c r="G39" s="51">
        <v>0</v>
      </c>
      <c r="H39" s="51">
        <v>0</v>
      </c>
      <c r="I39" s="58">
        <f t="shared" ref="I39" si="21">F39-G39</f>
        <v>43.844675581971273</v>
      </c>
      <c r="J39" s="58"/>
      <c r="K39" s="23"/>
      <c r="L39" s="23"/>
      <c r="M39" s="23"/>
      <c r="N39" s="23"/>
      <c r="O39" s="23"/>
    </row>
    <row r="40" spans="1:44" ht="15.95" customHeight="1">
      <c r="A40" s="14"/>
      <c r="K40" s="23"/>
      <c r="L40" s="23"/>
      <c r="M40" s="23"/>
      <c r="N40" s="23"/>
      <c r="O40" s="23"/>
    </row>
    <row r="41" spans="1:44" ht="15.95" customHeight="1">
      <c r="A41" s="14"/>
      <c r="C41" s="1" t="s">
        <v>57</v>
      </c>
      <c r="E41" s="23">
        <f>SUM(E31:E40)</f>
        <v>336.5</v>
      </c>
      <c r="F41" s="50">
        <f>SUM(F31:F40)</f>
        <v>320.73333333333329</v>
      </c>
      <c r="H41" s="25">
        <f>SUM(H31:H40)</f>
        <v>10.413110450718179</v>
      </c>
      <c r="I41" s="63">
        <f>SUM(I31:I40)</f>
        <v>310.32022288261516</v>
      </c>
      <c r="K41" s="23"/>
      <c r="L41" s="23"/>
      <c r="M41" s="23"/>
      <c r="N41" s="23"/>
      <c r="O41" s="23"/>
    </row>
    <row r="42" spans="1:44">
      <c r="A42" s="14"/>
      <c r="C42" s="1" t="s">
        <v>50</v>
      </c>
      <c r="E42" s="25">
        <f>C23/E41</f>
        <v>0.95314512134720164</v>
      </c>
      <c r="K42" s="23"/>
      <c r="L42" s="23"/>
      <c r="M42" s="23"/>
      <c r="N42" s="23"/>
      <c r="O42" s="23"/>
    </row>
    <row r="43" spans="1:44">
      <c r="A43" s="14"/>
      <c r="K43" s="23"/>
      <c r="L43" s="23"/>
      <c r="M43" s="23"/>
      <c r="N43" s="23"/>
      <c r="O43" s="23"/>
    </row>
    <row r="44" spans="1: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3"/>
      <c r="L44" s="23"/>
      <c r="M44" s="23"/>
      <c r="N44" s="23"/>
      <c r="O44" s="23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44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3"/>
      <c r="L45" s="23"/>
      <c r="M45" s="23"/>
      <c r="N45" s="23"/>
      <c r="O45" s="23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>
      <c r="A48" s="22"/>
      <c r="B48" s="22"/>
      <c r="C48" s="22"/>
      <c r="D48" s="22" t="s">
        <v>3</v>
      </c>
      <c r="E48" s="56">
        <v>0.1</v>
      </c>
      <c r="F48" s="56">
        <v>0.11</v>
      </c>
      <c r="G48" s="56">
        <v>0.01</v>
      </c>
      <c r="H48" s="56">
        <v>0.15</v>
      </c>
      <c r="I48" s="22"/>
      <c r="J48" s="22"/>
      <c r="K48" s="61" t="s">
        <v>80</v>
      </c>
      <c r="L48" s="61" t="s">
        <v>81</v>
      </c>
      <c r="M48" s="61" t="s">
        <v>82</v>
      </c>
      <c r="N48" s="61" t="s">
        <v>83</v>
      </c>
      <c r="O48" s="61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>
      <c r="A49" s="22"/>
      <c r="B49" s="22"/>
      <c r="C49" s="22"/>
      <c r="D49" s="22">
        <v>259.16000000000003</v>
      </c>
      <c r="E49" s="45">
        <f>D49/15*10</f>
        <v>172.77333333333334</v>
      </c>
      <c r="F49" s="45">
        <f>D49/15*11</f>
        <v>190.05066666666667</v>
      </c>
      <c r="G49" s="45">
        <f>D49/15*1</f>
        <v>17.277333333333335</v>
      </c>
      <c r="H49" s="45">
        <f>D49/15*15</f>
        <v>259.16000000000003</v>
      </c>
      <c r="I49" s="22"/>
      <c r="J49" s="14">
        <v>43675</v>
      </c>
      <c r="K49" s="55">
        <v>259.16000000000003</v>
      </c>
      <c r="L49" s="55">
        <v>318.5</v>
      </c>
      <c r="M49" s="55">
        <v>625.09</v>
      </c>
      <c r="N49" s="55">
        <v>0</v>
      </c>
      <c r="O49" s="61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>
      <c r="A50" s="22"/>
      <c r="B50" s="22"/>
      <c r="C50" s="22"/>
      <c r="D50" s="22"/>
      <c r="E50" s="22"/>
      <c r="F50" s="22"/>
      <c r="G50" s="22"/>
      <c r="H50" s="22"/>
      <c r="I50" s="22"/>
      <c r="J50" s="14">
        <f>+J49+1</f>
        <v>43676</v>
      </c>
      <c r="K50" s="55">
        <v>0</v>
      </c>
      <c r="L50" s="55">
        <v>0</v>
      </c>
      <c r="M50" s="55">
        <v>0</v>
      </c>
      <c r="N50" s="55">
        <v>0</v>
      </c>
      <c r="O50" s="61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>
      <c r="A51" s="22"/>
      <c r="B51" s="22"/>
      <c r="C51" s="22"/>
      <c r="D51" s="22"/>
      <c r="E51" s="22"/>
      <c r="F51" s="22"/>
      <c r="G51" s="22"/>
      <c r="H51" s="22"/>
      <c r="I51" s="22"/>
      <c r="J51" s="14">
        <f t="shared" ref="J51:J62" si="22">+J50+1</f>
        <v>43677</v>
      </c>
      <c r="K51" s="55">
        <v>0</v>
      </c>
      <c r="L51" s="55">
        <v>0</v>
      </c>
      <c r="M51" s="55">
        <v>0</v>
      </c>
      <c r="N51" s="55">
        <v>0</v>
      </c>
      <c r="O51" s="61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>
      <c r="A52" s="22"/>
      <c r="B52" s="22"/>
      <c r="C52" s="22"/>
      <c r="D52" s="22">
        <v>1</v>
      </c>
      <c r="E52" s="45">
        <f>E49/3*3</f>
        <v>172.77333333333334</v>
      </c>
      <c r="F52" s="45">
        <f>F49/3*3</f>
        <v>190.05066666666667</v>
      </c>
      <c r="G52" s="45">
        <f>G49/3*3</f>
        <v>17.277333333333335</v>
      </c>
      <c r="H52" s="45">
        <f>H49/3*3</f>
        <v>259.16000000000003</v>
      </c>
      <c r="I52" s="22"/>
      <c r="J52" s="14">
        <f t="shared" si="22"/>
        <v>43678</v>
      </c>
      <c r="K52" s="55">
        <v>0</v>
      </c>
      <c r="L52" s="55">
        <v>0</v>
      </c>
      <c r="M52" s="55">
        <v>0</v>
      </c>
      <c r="N52" s="55">
        <v>0</v>
      </c>
      <c r="O52" s="61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>
      <c r="A53" s="22"/>
      <c r="B53" s="22"/>
      <c r="C53" s="22"/>
      <c r="D53" s="22">
        <v>2</v>
      </c>
      <c r="E53" s="45">
        <f>E49/2</f>
        <v>86.38666666666667</v>
      </c>
      <c r="F53" s="45">
        <f>F49/2</f>
        <v>95.025333333333336</v>
      </c>
      <c r="G53" s="45">
        <f>G49/2</f>
        <v>8.6386666666666674</v>
      </c>
      <c r="H53" s="45">
        <f>H49/2</f>
        <v>129.58000000000001</v>
      </c>
      <c r="I53" s="22"/>
      <c r="J53" s="14">
        <f t="shared" si="22"/>
        <v>43679</v>
      </c>
      <c r="K53" s="55">
        <v>0</v>
      </c>
      <c r="L53" s="55">
        <v>0</v>
      </c>
      <c r="M53" s="55">
        <v>0</v>
      </c>
      <c r="N53" s="55">
        <v>0</v>
      </c>
      <c r="O53" s="61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>
      <c r="A54" s="22"/>
      <c r="B54" s="22"/>
      <c r="C54" s="22"/>
      <c r="D54" s="22">
        <v>3</v>
      </c>
      <c r="E54" s="45">
        <f>E49/3</f>
        <v>57.591111111111111</v>
      </c>
      <c r="F54" s="45">
        <f>F49/3</f>
        <v>63.350222222222222</v>
      </c>
      <c r="G54" s="45">
        <f>G49/3</f>
        <v>5.7591111111111113</v>
      </c>
      <c r="H54" s="45">
        <f>H49/3</f>
        <v>86.38666666666667</v>
      </c>
      <c r="I54" s="22"/>
      <c r="J54" s="14">
        <f>+J53+1</f>
        <v>43680</v>
      </c>
      <c r="K54" s="55">
        <v>0</v>
      </c>
      <c r="L54" s="55">
        <v>0</v>
      </c>
      <c r="M54" s="55">
        <v>0</v>
      </c>
      <c r="N54" s="55">
        <v>0</v>
      </c>
      <c r="O54" s="61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>
      <c r="A55" s="22"/>
      <c r="B55" s="22"/>
      <c r="C55" s="22"/>
      <c r="D55" s="22">
        <v>4</v>
      </c>
      <c r="E55" s="45">
        <f>E49/4</f>
        <v>43.193333333333335</v>
      </c>
      <c r="F55" s="45">
        <f>F49/4</f>
        <v>47.512666666666668</v>
      </c>
      <c r="G55" s="45">
        <f>G49/4</f>
        <v>4.3193333333333337</v>
      </c>
      <c r="H55" s="45">
        <f>H49/4</f>
        <v>64.790000000000006</v>
      </c>
      <c r="I55" s="22"/>
      <c r="J55" s="14">
        <f t="shared" si="22"/>
        <v>43681</v>
      </c>
      <c r="K55" s="55">
        <v>0</v>
      </c>
      <c r="L55" s="55">
        <v>0</v>
      </c>
      <c r="M55" s="55">
        <v>0</v>
      </c>
      <c r="N55" s="55">
        <v>0</v>
      </c>
      <c r="O55" s="61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>
      <c r="A56" s="22"/>
      <c r="B56" s="22"/>
      <c r="C56" s="22"/>
      <c r="D56" s="22">
        <v>5</v>
      </c>
      <c r="E56" s="45">
        <f>E49/5</f>
        <v>34.55466666666667</v>
      </c>
      <c r="F56" s="45">
        <f>F49/5</f>
        <v>38.010133333333336</v>
      </c>
      <c r="G56" s="45">
        <f>G49/5</f>
        <v>3.4554666666666671</v>
      </c>
      <c r="H56" s="45">
        <f>H49/5</f>
        <v>51.832000000000008</v>
      </c>
      <c r="I56" s="22"/>
      <c r="J56" s="14">
        <f t="shared" si="22"/>
        <v>43682</v>
      </c>
      <c r="K56" s="55">
        <v>0</v>
      </c>
      <c r="L56" s="55">
        <v>0</v>
      </c>
      <c r="M56" s="55">
        <v>0</v>
      </c>
      <c r="N56" s="55">
        <v>0</v>
      </c>
      <c r="O56" s="61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>
      <c r="A57" s="22"/>
      <c r="B57" s="22"/>
      <c r="C57" s="22"/>
      <c r="D57" s="22">
        <v>6</v>
      </c>
      <c r="E57" s="45">
        <f>E49/6</f>
        <v>28.795555555555556</v>
      </c>
      <c r="F57" s="45">
        <f>F49/6</f>
        <v>31.675111111111111</v>
      </c>
      <c r="G57" s="22"/>
      <c r="H57" s="45">
        <f>H49/6</f>
        <v>43.193333333333335</v>
      </c>
      <c r="I57" s="22"/>
      <c r="J57" s="14">
        <f t="shared" si="22"/>
        <v>43683</v>
      </c>
      <c r="K57" s="55">
        <v>0</v>
      </c>
      <c r="L57" s="55">
        <v>0</v>
      </c>
      <c r="M57" s="55">
        <v>0</v>
      </c>
      <c r="N57" s="55">
        <v>0</v>
      </c>
      <c r="O57" s="61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>
      <c r="A58" s="22"/>
      <c r="B58" s="22"/>
      <c r="C58" s="22"/>
      <c r="D58" s="22">
        <v>7</v>
      </c>
      <c r="E58" s="45">
        <f>E49/7</f>
        <v>24.681904761904764</v>
      </c>
      <c r="F58" s="45">
        <f>F49/7</f>
        <v>27.15009523809524</v>
      </c>
      <c r="G58" s="22"/>
      <c r="H58" s="45">
        <f>H49/7</f>
        <v>37.022857142857148</v>
      </c>
      <c r="I58" s="22"/>
      <c r="J58" s="14">
        <f t="shared" si="22"/>
        <v>43684</v>
      </c>
      <c r="K58" s="55">
        <v>0</v>
      </c>
      <c r="L58" s="55">
        <v>0</v>
      </c>
      <c r="M58" s="55">
        <v>0</v>
      </c>
      <c r="N58" s="55">
        <v>0</v>
      </c>
      <c r="O58" s="61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>
      <c r="A59" s="22"/>
      <c r="B59" s="22"/>
      <c r="C59" s="22"/>
      <c r="D59" s="22">
        <v>8</v>
      </c>
      <c r="E59" s="45">
        <f>E49/8</f>
        <v>21.596666666666668</v>
      </c>
      <c r="F59" s="45">
        <f>F49/8</f>
        <v>23.756333333333334</v>
      </c>
      <c r="G59" s="22"/>
      <c r="H59" s="45">
        <f>H49/8</f>
        <v>32.395000000000003</v>
      </c>
      <c r="I59" s="22"/>
      <c r="J59" s="14">
        <f t="shared" si="22"/>
        <v>43685</v>
      </c>
      <c r="K59" s="55">
        <v>0</v>
      </c>
      <c r="L59" s="55">
        <v>0</v>
      </c>
      <c r="M59" s="55">
        <v>0</v>
      </c>
      <c r="N59" s="55">
        <v>0</v>
      </c>
      <c r="O59" s="61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>
      <c r="A60" s="22"/>
      <c r="B60" s="22"/>
      <c r="C60" s="22"/>
      <c r="D60" s="22">
        <v>9</v>
      </c>
      <c r="E60" s="45">
        <f>E49/9</f>
        <v>19.197037037037038</v>
      </c>
      <c r="F60" s="45">
        <f>F49/9</f>
        <v>21.116740740740742</v>
      </c>
      <c r="G60" s="22"/>
      <c r="H60" s="45">
        <f>H49/9</f>
        <v>28.795555555555559</v>
      </c>
      <c r="I60" s="22"/>
      <c r="J60" s="14">
        <f t="shared" si="22"/>
        <v>43686</v>
      </c>
      <c r="K60" s="55">
        <v>0</v>
      </c>
      <c r="L60" s="55">
        <v>0</v>
      </c>
      <c r="M60" s="55">
        <v>0</v>
      </c>
      <c r="N60" s="55">
        <v>0</v>
      </c>
      <c r="O60" s="61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>
      <c r="A61" s="22"/>
      <c r="B61" s="22"/>
      <c r="C61" s="22"/>
      <c r="D61" s="22">
        <v>10</v>
      </c>
      <c r="E61" s="45">
        <f>E49/10</f>
        <v>17.277333333333335</v>
      </c>
      <c r="F61" s="45">
        <f>F49/10</f>
        <v>19.005066666666668</v>
      </c>
      <c r="G61" s="22"/>
      <c r="H61" s="45">
        <f>H49/10</f>
        <v>25.916000000000004</v>
      </c>
      <c r="I61" s="22"/>
      <c r="J61" s="14">
        <f t="shared" si="22"/>
        <v>43687</v>
      </c>
      <c r="K61" s="55">
        <v>0</v>
      </c>
      <c r="L61" s="55">
        <v>0</v>
      </c>
      <c r="M61" s="55">
        <v>0</v>
      </c>
      <c r="N61" s="55">
        <v>0</v>
      </c>
      <c r="O61" s="61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>
      <c r="A62" s="22"/>
      <c r="B62" s="22"/>
      <c r="C62" s="22"/>
      <c r="D62" s="22">
        <v>11</v>
      </c>
      <c r="E62" s="45">
        <f>E49/11</f>
        <v>15.706666666666667</v>
      </c>
      <c r="F62" s="45">
        <f>F49/11</f>
        <v>17.277333333333335</v>
      </c>
      <c r="G62" s="22"/>
      <c r="H62" s="45">
        <f>H49/11</f>
        <v>23.560000000000002</v>
      </c>
      <c r="I62" s="22"/>
      <c r="J62" s="14">
        <f t="shared" si="22"/>
        <v>43688</v>
      </c>
      <c r="K62" s="55">
        <v>0</v>
      </c>
      <c r="L62" s="55">
        <v>0</v>
      </c>
      <c r="M62" s="55">
        <v>0</v>
      </c>
      <c r="N62" s="55">
        <v>0</v>
      </c>
      <c r="O62" s="61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>
      <c r="A63" s="22"/>
      <c r="B63" s="22"/>
      <c r="C63" s="22"/>
      <c r="D63" s="22">
        <v>12</v>
      </c>
      <c r="E63" s="45">
        <f>E49/12</f>
        <v>14.397777777777778</v>
      </c>
      <c r="F63" s="45">
        <f>F49/12</f>
        <v>15.837555555555555</v>
      </c>
      <c r="G63" s="22"/>
      <c r="H63" s="45">
        <f>H49/12</f>
        <v>21.596666666666668</v>
      </c>
      <c r="I63" s="22"/>
      <c r="J63" s="14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>
      <c r="A64" s="22"/>
      <c r="B64" s="22"/>
      <c r="C64" s="22"/>
      <c r="D64" s="22"/>
      <c r="E64" s="45"/>
      <c r="F64" s="45"/>
      <c r="G64" s="22"/>
      <c r="H64" s="4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6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44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6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6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6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</sheetData>
  <pageMargins left="0.75" right="0.75" top="1" bottom="1" header="0.5" footer="0.5"/>
  <pageSetup paperSize="5" scale="69" orientation="landscape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July 15-July 28</vt:lpstr>
      <vt:lpstr>July 29-Aug 11</vt:lpstr>
      <vt:lpstr>'July 15-July 28'!Print_Area</vt:lpstr>
      <vt:lpstr>'July 29-Aug 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</dc:creator>
  <cp:lastModifiedBy>Glen Jennings</cp:lastModifiedBy>
  <cp:lastPrinted>2019-07-29T19:06:01Z</cp:lastPrinted>
  <dcterms:created xsi:type="dcterms:W3CDTF">2015-01-29T17:05:54Z</dcterms:created>
  <dcterms:modified xsi:type="dcterms:W3CDTF">2019-08-07T20:03:04Z</dcterms:modified>
</cp:coreProperties>
</file>